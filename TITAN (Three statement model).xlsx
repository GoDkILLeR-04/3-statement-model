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CF Model\"/>
    </mc:Choice>
  </mc:AlternateContent>
  <xr:revisionPtr revIDLastSave="0" documentId="13_ncr:1_{EA3D98D3-15F1-4998-954E-9FA176AB8E9A}" xr6:coauthVersionLast="47" xr6:coauthVersionMax="47" xr10:uidLastSave="{00000000-0000-0000-0000-000000000000}"/>
  <bookViews>
    <workbookView xWindow="-120" yWindow="-120" windowWidth="20730" windowHeight="11310" xr2:uid="{E6A48F6D-DB90-4250-A7A8-9E16F2CA14C8}"/>
  </bookViews>
  <sheets>
    <sheet name="Three Statement Model" sheetId="13" r:id="rId1"/>
    <sheet name="Data&gt;&gt;" sheetId="5" r:id="rId2"/>
    <sheet name="Data Sheet" sheetId="12" r:id="rId3"/>
    <sheet name="Profit &amp; Loss " sheetId="8" r:id="rId4"/>
    <sheet name="Balance Sheet" sheetId="9" r:id="rId5"/>
    <sheet name="Cash Flow " sheetId="10" r:id="rId6"/>
    <sheet name="Quarters" sheetId="11" r:id="rId7"/>
  </sheets>
  <definedNames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4" i="13" l="1"/>
  <c r="D57" i="13"/>
  <c r="D56" i="13"/>
  <c r="D54" i="13"/>
  <c r="E54" i="13"/>
  <c r="F54" i="13"/>
  <c r="G54" i="13"/>
  <c r="H54" i="13"/>
  <c r="I54" i="13"/>
  <c r="E8" i="13" l="1"/>
  <c r="J9" i="13"/>
  <c r="K9" i="13" s="1"/>
  <c r="J10" i="13"/>
  <c r="K10" i="13" s="1"/>
  <c r="J11" i="13"/>
  <c r="K11" i="13" s="1"/>
  <c r="J12" i="13"/>
  <c r="K12" i="13" s="1"/>
  <c r="H14" i="13"/>
  <c r="I96" i="13"/>
  <c r="I71" i="13" s="1"/>
  <c r="I72" i="13" s="1"/>
  <c r="I114" i="13" s="1"/>
  <c r="I12" i="13"/>
  <c r="I11" i="13"/>
  <c r="I10" i="13"/>
  <c r="I30" i="13" s="1"/>
  <c r="I9" i="13"/>
  <c r="M96" i="13"/>
  <c r="M71" i="13" s="1"/>
  <c r="M72" i="13" s="1"/>
  <c r="M114" i="13" s="1"/>
  <c r="L96" i="13"/>
  <c r="L71" i="13" s="1"/>
  <c r="L72" i="13" s="1"/>
  <c r="L114" i="13" s="1"/>
  <c r="K96" i="13"/>
  <c r="K71" i="13" s="1"/>
  <c r="K72" i="13" s="1"/>
  <c r="K114" i="13" s="1"/>
  <c r="J96" i="13"/>
  <c r="J71" i="13" s="1"/>
  <c r="J72" i="13" s="1"/>
  <c r="J114" i="13" s="1"/>
  <c r="I95" i="13"/>
  <c r="I80" i="13"/>
  <c r="J30" i="13"/>
  <c r="I25" i="13"/>
  <c r="I110" i="13" s="1"/>
  <c r="H19" i="13"/>
  <c r="G19" i="13"/>
  <c r="F19" i="13"/>
  <c r="E19" i="13"/>
  <c r="D19" i="13"/>
  <c r="H18" i="13"/>
  <c r="G18" i="13"/>
  <c r="F18" i="13"/>
  <c r="E18" i="13"/>
  <c r="D18" i="13"/>
  <c r="I44" i="13" l="1"/>
  <c r="K30" i="13"/>
  <c r="M10" i="13"/>
  <c r="M30" i="13" s="1"/>
  <c r="L12" i="13"/>
  <c r="M12" i="13" s="1"/>
  <c r="L11" i="13"/>
  <c r="M11" i="13" s="1"/>
  <c r="L10" i="13"/>
  <c r="L30" i="13" s="1"/>
  <c r="L9" i="13"/>
  <c r="M9" i="13" s="1"/>
  <c r="I26" i="13"/>
  <c r="I27" i="13" s="1"/>
  <c r="I111" i="13" s="1"/>
  <c r="J25" i="13"/>
  <c r="J110" i="13"/>
  <c r="I29" i="13"/>
  <c r="I97" i="13"/>
  <c r="I66" i="13" s="1"/>
  <c r="I31" i="13" s="1"/>
  <c r="J29" i="13"/>
  <c r="K25" i="13" l="1"/>
  <c r="J26" i="13"/>
  <c r="I98" i="13"/>
  <c r="I46" i="13" s="1"/>
  <c r="J95" i="13" l="1"/>
  <c r="J97" i="13" s="1"/>
  <c r="J66" i="13" s="1"/>
  <c r="J31" i="13" s="1"/>
  <c r="J27" i="13"/>
  <c r="J111" i="13" s="1"/>
  <c r="K29" i="13"/>
  <c r="K26" i="13"/>
  <c r="L25" i="13"/>
  <c r="K110" i="13"/>
  <c r="L26" i="13" l="1"/>
  <c r="L29" i="13"/>
  <c r="L110" i="13"/>
  <c r="M25" i="13"/>
  <c r="K27" i="13"/>
  <c r="K111" i="13" s="1"/>
  <c r="J98" i="13"/>
  <c r="K95" i="13" s="1"/>
  <c r="J46" i="13" l="1"/>
  <c r="M29" i="13"/>
  <c r="M26" i="13"/>
  <c r="M110" i="13"/>
  <c r="L27" i="13"/>
  <c r="L111" i="13" s="1"/>
  <c r="K97" i="13"/>
  <c r="K66" i="13" s="1"/>
  <c r="K31" i="13" s="1"/>
  <c r="K98" i="13" l="1"/>
  <c r="L95" i="13" s="1"/>
  <c r="M27" i="13"/>
  <c r="M111" i="13" s="1"/>
  <c r="K46" i="13" l="1"/>
  <c r="L97" i="13"/>
  <c r="L66" i="13" s="1"/>
  <c r="L31" i="13" s="1"/>
  <c r="L98" i="13" l="1"/>
  <c r="M95" i="13" l="1"/>
  <c r="L46" i="13"/>
  <c r="M97" i="13" l="1"/>
  <c r="M66" i="13" s="1"/>
  <c r="M31" i="13" s="1"/>
  <c r="M98" i="13" l="1"/>
  <c r="M46" i="13" s="1"/>
  <c r="E71" i="13" l="1"/>
  <c r="E17" i="13" s="1"/>
  <c r="F71" i="13"/>
  <c r="F17" i="13" s="1"/>
  <c r="G71" i="13"/>
  <c r="G17" i="13" s="1"/>
  <c r="H71" i="13"/>
  <c r="D71" i="13"/>
  <c r="E67" i="13"/>
  <c r="F67" i="13"/>
  <c r="G67" i="13"/>
  <c r="H67" i="13"/>
  <c r="D67" i="13"/>
  <c r="E65" i="13"/>
  <c r="F65" i="13"/>
  <c r="F68" i="13" s="1"/>
  <c r="F113" i="13" s="1"/>
  <c r="G65" i="13"/>
  <c r="H65" i="13"/>
  <c r="E66" i="13"/>
  <c r="F66" i="13"/>
  <c r="G66" i="13"/>
  <c r="G97" i="13" s="1"/>
  <c r="H66" i="13"/>
  <c r="H97" i="13" s="1"/>
  <c r="D66" i="13"/>
  <c r="D65" i="13"/>
  <c r="E55" i="13"/>
  <c r="F55" i="13"/>
  <c r="G55" i="13"/>
  <c r="H55" i="13"/>
  <c r="D55" i="13"/>
  <c r="D59" i="13"/>
  <c r="E50" i="13"/>
  <c r="E52" i="13" s="1"/>
  <c r="F50" i="13"/>
  <c r="G50" i="13"/>
  <c r="H50" i="13"/>
  <c r="E51" i="13"/>
  <c r="F51" i="13"/>
  <c r="G51" i="13"/>
  <c r="H51" i="13"/>
  <c r="D51" i="13"/>
  <c r="D50" i="13"/>
  <c r="D52" i="13" s="1"/>
  <c r="H46" i="13"/>
  <c r="G46" i="13"/>
  <c r="F46" i="13"/>
  <c r="E46" i="13"/>
  <c r="D46" i="13"/>
  <c r="E43" i="13"/>
  <c r="F43" i="13"/>
  <c r="G43" i="13"/>
  <c r="H43" i="13"/>
  <c r="E44" i="13"/>
  <c r="E88" i="13" s="1"/>
  <c r="F44" i="13"/>
  <c r="G44" i="13"/>
  <c r="H44" i="13"/>
  <c r="E45" i="13"/>
  <c r="F45" i="13"/>
  <c r="F89" i="13" s="1"/>
  <c r="G45" i="13"/>
  <c r="H45" i="13"/>
  <c r="E26" i="13"/>
  <c r="F26" i="13"/>
  <c r="G26" i="13"/>
  <c r="H26" i="13"/>
  <c r="E30" i="13"/>
  <c r="E10" i="13" s="1"/>
  <c r="F30" i="13"/>
  <c r="F10" i="13" s="1"/>
  <c r="G30" i="13"/>
  <c r="G10" i="13" s="1"/>
  <c r="H30" i="13"/>
  <c r="H10" i="13" s="1"/>
  <c r="E29" i="13"/>
  <c r="F29" i="13"/>
  <c r="G29" i="13"/>
  <c r="H29" i="13"/>
  <c r="D26" i="13"/>
  <c r="D45" i="13"/>
  <c r="D44" i="13"/>
  <c r="D43" i="13"/>
  <c r="D30" i="13"/>
  <c r="D10" i="13" s="1"/>
  <c r="D29" i="13"/>
  <c r="E32" i="13"/>
  <c r="F32" i="13"/>
  <c r="F104" i="13" s="1"/>
  <c r="G32" i="13"/>
  <c r="H32" i="13"/>
  <c r="E36" i="13"/>
  <c r="F36" i="13"/>
  <c r="G36" i="13"/>
  <c r="H36" i="13"/>
  <c r="D36" i="13"/>
  <c r="D32" i="13"/>
  <c r="F31" i="13"/>
  <c r="F11" i="13" s="1"/>
  <c r="G31" i="13"/>
  <c r="G11" i="13" s="1"/>
  <c r="H31" i="13"/>
  <c r="E31" i="13"/>
  <c r="D31" i="13"/>
  <c r="E25" i="13"/>
  <c r="E110" i="13" s="1"/>
  <c r="F25" i="13"/>
  <c r="G25" i="13"/>
  <c r="G7" i="13" s="1"/>
  <c r="H25" i="13"/>
  <c r="H110" i="13" s="1"/>
  <c r="D25" i="13"/>
  <c r="D110" i="13" s="1"/>
  <c r="E2" i="13"/>
  <c r="F2" i="13" s="1"/>
  <c r="G2" i="13" s="1"/>
  <c r="H2" i="13" s="1"/>
  <c r="I2" i="13" s="1"/>
  <c r="J2" i="13" s="1"/>
  <c r="K2" i="13" s="1"/>
  <c r="L2" i="13" s="1"/>
  <c r="M2" i="13" s="1"/>
  <c r="E104" i="13"/>
  <c r="H102" i="13"/>
  <c r="G102" i="13"/>
  <c r="F102" i="13"/>
  <c r="E102" i="13"/>
  <c r="D102" i="13"/>
  <c r="D103" i="13" s="1"/>
  <c r="E101" i="13" s="1"/>
  <c r="F97" i="13"/>
  <c r="E97" i="13"/>
  <c r="D97" i="13"/>
  <c r="G96" i="13"/>
  <c r="F90" i="13"/>
  <c r="E90" i="13"/>
  <c r="E89" i="13"/>
  <c r="G88" i="13"/>
  <c r="F88" i="13"/>
  <c r="D88" i="13"/>
  <c r="H77" i="13"/>
  <c r="H115" i="13" s="1"/>
  <c r="G77" i="13"/>
  <c r="G115" i="13" s="1"/>
  <c r="F77" i="13"/>
  <c r="F115" i="13" s="1"/>
  <c r="E77" i="13"/>
  <c r="E115" i="13" s="1"/>
  <c r="D77" i="13"/>
  <c r="D115" i="13" s="1"/>
  <c r="G72" i="13"/>
  <c r="G114" i="13" s="1"/>
  <c r="F72" i="13"/>
  <c r="F114" i="13" s="1"/>
  <c r="G68" i="13"/>
  <c r="G113" i="13" s="1"/>
  <c r="H56" i="13"/>
  <c r="G56" i="13"/>
  <c r="F52" i="13"/>
  <c r="E47" i="13"/>
  <c r="D33" i="13" l="1"/>
  <c r="D47" i="13"/>
  <c r="H9" i="13"/>
  <c r="D68" i="13"/>
  <c r="E68" i="13"/>
  <c r="E113" i="13" s="1"/>
  <c r="F7" i="13"/>
  <c r="E12" i="13"/>
  <c r="D14" i="13"/>
  <c r="G47" i="13"/>
  <c r="E56" i="13"/>
  <c r="E57" i="13" s="1"/>
  <c r="E59" i="13" s="1"/>
  <c r="F56" i="13"/>
  <c r="G27" i="13"/>
  <c r="G111" i="13" s="1"/>
  <c r="F96" i="13"/>
  <c r="F110" i="13"/>
  <c r="E33" i="13"/>
  <c r="E11" i="13"/>
  <c r="H89" i="13"/>
  <c r="H15" i="13"/>
  <c r="H52" i="13"/>
  <c r="H16" i="13"/>
  <c r="G110" i="13"/>
  <c r="H11" i="13"/>
  <c r="G9" i="13"/>
  <c r="G15" i="13"/>
  <c r="G52" i="13"/>
  <c r="G16" i="13"/>
  <c r="G90" i="13"/>
  <c r="E7" i="13"/>
  <c r="H104" i="13"/>
  <c r="H12" i="13"/>
  <c r="D9" i="13"/>
  <c r="D89" i="13"/>
  <c r="D15" i="13"/>
  <c r="F9" i="13"/>
  <c r="F8" i="13"/>
  <c r="F15" i="13"/>
  <c r="F14" i="13"/>
  <c r="F47" i="13"/>
  <c r="D16" i="13"/>
  <c r="F16" i="13"/>
  <c r="H96" i="13"/>
  <c r="H17" i="13"/>
  <c r="F57" i="13"/>
  <c r="F59" i="13" s="1"/>
  <c r="D104" i="13"/>
  <c r="D12" i="13"/>
  <c r="F33" i="13"/>
  <c r="F12" i="13"/>
  <c r="H27" i="13"/>
  <c r="H111" i="13" s="1"/>
  <c r="H8" i="13"/>
  <c r="H88" i="13"/>
  <c r="G8" i="13"/>
  <c r="G14" i="13"/>
  <c r="D96" i="13"/>
  <c r="D98" i="13" s="1"/>
  <c r="E95" i="13" s="1"/>
  <c r="E98" i="13" s="1"/>
  <c r="F95" i="13" s="1"/>
  <c r="F98" i="13" s="1"/>
  <c r="G95" i="13" s="1"/>
  <c r="G98" i="13" s="1"/>
  <c r="H95" i="13" s="1"/>
  <c r="H98" i="13" s="1"/>
  <c r="D17" i="13"/>
  <c r="F27" i="13"/>
  <c r="F111" i="13" s="1"/>
  <c r="G33" i="13"/>
  <c r="E72" i="13"/>
  <c r="E114" i="13" s="1"/>
  <c r="G89" i="13"/>
  <c r="G91" i="13" s="1"/>
  <c r="E96" i="13"/>
  <c r="E103" i="13"/>
  <c r="F101" i="13" s="1"/>
  <c r="F103" i="13" s="1"/>
  <c r="G101" i="13" s="1"/>
  <c r="G103" i="13" s="1"/>
  <c r="H101" i="13" s="1"/>
  <c r="H103" i="13" s="1"/>
  <c r="H7" i="13"/>
  <c r="D11" i="13"/>
  <c r="G104" i="13"/>
  <c r="G12" i="13"/>
  <c r="D8" i="13"/>
  <c r="E9" i="13"/>
  <c r="E27" i="13"/>
  <c r="E111" i="13" s="1"/>
  <c r="E15" i="13"/>
  <c r="E14" i="13"/>
  <c r="E16" i="13"/>
  <c r="H72" i="13"/>
  <c r="H114" i="13" s="1"/>
  <c r="D72" i="13"/>
  <c r="D114" i="13" s="1"/>
  <c r="H68" i="13"/>
  <c r="H113" i="13" s="1"/>
  <c r="G57" i="13"/>
  <c r="G59" i="13" s="1"/>
  <c r="H90" i="13"/>
  <c r="D90" i="13"/>
  <c r="D91" i="13" s="1"/>
  <c r="D92" i="13" s="1"/>
  <c r="H47" i="13"/>
  <c r="H33" i="13"/>
  <c r="D27" i="13"/>
  <c r="D111" i="13" s="1"/>
  <c r="F79" i="13"/>
  <c r="G79" i="13"/>
  <c r="H57" i="13"/>
  <c r="H59" i="13" s="1"/>
  <c r="E91" i="13"/>
  <c r="F91" i="13"/>
  <c r="D113" i="13"/>
  <c r="E34" i="13" l="1"/>
  <c r="E37" i="13" s="1"/>
  <c r="D79" i="13"/>
  <c r="D81" i="13" s="1"/>
  <c r="E80" i="13" s="1"/>
  <c r="H34" i="13"/>
  <c r="H13" i="13" s="1"/>
  <c r="F34" i="13"/>
  <c r="H91" i="13"/>
  <c r="H92" i="13" s="1"/>
  <c r="G34" i="13"/>
  <c r="G13" i="13" s="1"/>
  <c r="E79" i="13"/>
  <c r="H79" i="13"/>
  <c r="F92" i="13"/>
  <c r="D34" i="13"/>
  <c r="G92" i="13"/>
  <c r="E92" i="13"/>
  <c r="H37" i="13"/>
  <c r="G37" i="13" l="1"/>
  <c r="E81" i="13"/>
  <c r="F80" i="13" s="1"/>
  <c r="F81" i="13" s="1"/>
  <c r="G80" i="13" s="1"/>
  <c r="G81" i="13" s="1"/>
  <c r="H80" i="13" s="1"/>
  <c r="H81" i="13" s="1"/>
  <c r="E13" i="13"/>
  <c r="F13" i="13"/>
  <c r="F37" i="13"/>
  <c r="D37" i="13"/>
  <c r="D13" i="13"/>
  <c r="E1" i="12" l="1"/>
  <c r="B6" i="12"/>
  <c r="E1" i="11"/>
  <c r="B3" i="11"/>
  <c r="C3" i="11"/>
  <c r="D3" i="11"/>
  <c r="E3" i="11"/>
  <c r="F3" i="11"/>
  <c r="G3" i="11"/>
  <c r="H3" i="11"/>
  <c r="I3" i="11"/>
  <c r="J3" i="11"/>
  <c r="K3" i="11"/>
  <c r="B4" i="11"/>
  <c r="B14" i="11" s="1"/>
  <c r="C4" i="11"/>
  <c r="C14" i="11" s="1"/>
  <c r="D4" i="11"/>
  <c r="E4" i="11"/>
  <c r="F4" i="11"/>
  <c r="G4" i="11"/>
  <c r="H4" i="11"/>
  <c r="I4" i="11"/>
  <c r="J4" i="11"/>
  <c r="J14" i="11" s="1"/>
  <c r="K4" i="11"/>
  <c r="K14" i="11" s="1"/>
  <c r="B5" i="11"/>
  <c r="C5" i="11"/>
  <c r="D5" i="11"/>
  <c r="E5" i="11"/>
  <c r="F5" i="11"/>
  <c r="G5" i="11"/>
  <c r="H5" i="11"/>
  <c r="I5" i="11"/>
  <c r="J5" i="11"/>
  <c r="K5" i="11"/>
  <c r="B6" i="11"/>
  <c r="C6" i="11"/>
  <c r="D6" i="11"/>
  <c r="E6" i="11"/>
  <c r="F6" i="11"/>
  <c r="G6" i="11"/>
  <c r="H6" i="11"/>
  <c r="I6" i="11"/>
  <c r="J6" i="11"/>
  <c r="K6" i="11"/>
  <c r="B7" i="11"/>
  <c r="C7" i="11"/>
  <c r="D7" i="11"/>
  <c r="E7" i="11"/>
  <c r="F7" i="11"/>
  <c r="G7" i="11"/>
  <c r="H7" i="11"/>
  <c r="I7" i="11"/>
  <c r="L7" i="8" s="1"/>
  <c r="J7" i="11"/>
  <c r="K7" i="11"/>
  <c r="B8" i="11"/>
  <c r="C8" i="11"/>
  <c r="D8" i="11"/>
  <c r="E8" i="11"/>
  <c r="F8" i="11"/>
  <c r="G8" i="11"/>
  <c r="H8" i="11"/>
  <c r="I8" i="11"/>
  <c r="J8" i="11"/>
  <c r="K8" i="11"/>
  <c r="L8" i="8" s="1"/>
  <c r="M8" i="8" s="1"/>
  <c r="B9" i="11"/>
  <c r="C9" i="11"/>
  <c r="D9" i="11"/>
  <c r="E9" i="11"/>
  <c r="F9" i="11"/>
  <c r="G9" i="11"/>
  <c r="H9" i="11"/>
  <c r="I9" i="11"/>
  <c r="J9" i="11"/>
  <c r="K9" i="11"/>
  <c r="B10" i="11"/>
  <c r="C10" i="11"/>
  <c r="D10" i="11"/>
  <c r="E10" i="11"/>
  <c r="F10" i="11"/>
  <c r="G10" i="11"/>
  <c r="H10" i="11"/>
  <c r="I10" i="11"/>
  <c r="J10" i="11"/>
  <c r="K10" i="11"/>
  <c r="B11" i="11"/>
  <c r="C11" i="11"/>
  <c r="D11" i="11"/>
  <c r="E11" i="11"/>
  <c r="F11" i="11"/>
  <c r="G11" i="11"/>
  <c r="H11" i="11"/>
  <c r="I11" i="11"/>
  <c r="J11" i="11"/>
  <c r="K11" i="11"/>
  <c r="B12" i="11"/>
  <c r="C12" i="11"/>
  <c r="D12" i="11"/>
  <c r="E12" i="11"/>
  <c r="F12" i="11"/>
  <c r="G12" i="11"/>
  <c r="H12" i="11"/>
  <c r="I12" i="11"/>
  <c r="J12" i="11"/>
  <c r="K12" i="11"/>
  <c r="F14" i="11"/>
  <c r="G14" i="11"/>
  <c r="E1" i="10"/>
  <c r="B3" i="10"/>
  <c r="C3" i="10"/>
  <c r="D3" i="10"/>
  <c r="E3" i="10"/>
  <c r="F3" i="10"/>
  <c r="G3" i="10"/>
  <c r="H3" i="10"/>
  <c r="I3" i="10"/>
  <c r="J3" i="10"/>
  <c r="K3" i="10"/>
  <c r="B4" i="10"/>
  <c r="C4" i="10"/>
  <c r="D4" i="10"/>
  <c r="E4" i="10"/>
  <c r="F4" i="10"/>
  <c r="G4" i="10"/>
  <c r="H4" i="10"/>
  <c r="I4" i="10"/>
  <c r="J4" i="10"/>
  <c r="K4" i="10"/>
  <c r="B5" i="10"/>
  <c r="C5" i="10"/>
  <c r="D5" i="10"/>
  <c r="E5" i="10"/>
  <c r="F5" i="10"/>
  <c r="G5" i="10"/>
  <c r="H5" i="10"/>
  <c r="I5" i="10"/>
  <c r="J5" i="10"/>
  <c r="K5" i="10"/>
  <c r="B6" i="10"/>
  <c r="C6" i="10"/>
  <c r="D6" i="10"/>
  <c r="E6" i="10"/>
  <c r="F6" i="10"/>
  <c r="G6" i="10"/>
  <c r="H6" i="10"/>
  <c r="I6" i="10"/>
  <c r="J6" i="10"/>
  <c r="K6" i="10"/>
  <c r="B7" i="10"/>
  <c r="C7" i="10"/>
  <c r="D7" i="10"/>
  <c r="E7" i="10"/>
  <c r="F7" i="10"/>
  <c r="G7" i="10"/>
  <c r="H7" i="10"/>
  <c r="I7" i="10"/>
  <c r="J7" i="10"/>
  <c r="K7" i="10"/>
  <c r="E1" i="9"/>
  <c r="B3" i="9"/>
  <c r="C3" i="9"/>
  <c r="D3" i="9"/>
  <c r="E3" i="9"/>
  <c r="F3" i="9"/>
  <c r="G3" i="9"/>
  <c r="H3" i="9"/>
  <c r="I3" i="9"/>
  <c r="J3" i="9"/>
  <c r="K3" i="9"/>
  <c r="B4" i="9"/>
  <c r="B23" i="9" s="1"/>
  <c r="C4" i="9"/>
  <c r="C23" i="9" s="1"/>
  <c r="D4" i="9"/>
  <c r="E4" i="9"/>
  <c r="F4" i="9"/>
  <c r="F23" i="9" s="1"/>
  <c r="G4" i="9"/>
  <c r="G23" i="9" s="1"/>
  <c r="H4" i="9"/>
  <c r="I4" i="9"/>
  <c r="J4" i="9"/>
  <c r="K4" i="9"/>
  <c r="K23" i="9" s="1"/>
  <c r="B5" i="9"/>
  <c r="C5" i="9"/>
  <c r="D5" i="9"/>
  <c r="E5" i="9"/>
  <c r="F24" i="9" s="1"/>
  <c r="F5" i="9"/>
  <c r="G5" i="9"/>
  <c r="H5" i="9"/>
  <c r="I5" i="9"/>
  <c r="J24" i="9" s="1"/>
  <c r="J5" i="9"/>
  <c r="K5" i="9"/>
  <c r="B6" i="9"/>
  <c r="C6" i="9"/>
  <c r="D6" i="9"/>
  <c r="E6" i="9"/>
  <c r="F6" i="9"/>
  <c r="G6" i="9"/>
  <c r="H6" i="9"/>
  <c r="I6" i="9"/>
  <c r="J6" i="9"/>
  <c r="K6" i="9"/>
  <c r="B7" i="9"/>
  <c r="C7" i="9"/>
  <c r="D7" i="9"/>
  <c r="E7" i="9"/>
  <c r="F7" i="9"/>
  <c r="G7" i="9"/>
  <c r="H7" i="9"/>
  <c r="I7" i="9"/>
  <c r="J7" i="9"/>
  <c r="K7" i="9"/>
  <c r="B8" i="9"/>
  <c r="C8" i="9"/>
  <c r="D8" i="9"/>
  <c r="E8" i="9"/>
  <c r="F8" i="9"/>
  <c r="G8" i="9"/>
  <c r="H8" i="9"/>
  <c r="I8" i="9"/>
  <c r="J8" i="9"/>
  <c r="K8" i="9"/>
  <c r="B10" i="9"/>
  <c r="C10" i="9"/>
  <c r="D10" i="9"/>
  <c r="E10" i="9"/>
  <c r="F10" i="9"/>
  <c r="G10" i="9"/>
  <c r="H10" i="9"/>
  <c r="I10" i="9"/>
  <c r="J10" i="9"/>
  <c r="K10" i="9"/>
  <c r="B11" i="9"/>
  <c r="C11" i="9"/>
  <c r="D11" i="9"/>
  <c r="E11" i="9"/>
  <c r="F11" i="9"/>
  <c r="G11" i="9"/>
  <c r="H11" i="9"/>
  <c r="I11" i="9"/>
  <c r="J11" i="9"/>
  <c r="K11" i="9"/>
  <c r="B12" i="9"/>
  <c r="C12" i="9"/>
  <c r="D12" i="9"/>
  <c r="E12" i="9"/>
  <c r="F12" i="9"/>
  <c r="G12" i="9"/>
  <c r="H12" i="9"/>
  <c r="I12" i="9"/>
  <c r="J12" i="9"/>
  <c r="K12" i="9"/>
  <c r="B13" i="9"/>
  <c r="C13" i="9"/>
  <c r="D13" i="9"/>
  <c r="E13" i="9"/>
  <c r="E16" i="9" s="1"/>
  <c r="F13" i="9"/>
  <c r="F16" i="9" s="1"/>
  <c r="G13" i="9"/>
  <c r="H13" i="9"/>
  <c r="I13" i="9"/>
  <c r="J13" i="9"/>
  <c r="J16" i="9" s="1"/>
  <c r="K13" i="9"/>
  <c r="B14" i="9"/>
  <c r="C14" i="9"/>
  <c r="D14" i="9"/>
  <c r="E14" i="9"/>
  <c r="F14" i="9"/>
  <c r="G14" i="9"/>
  <c r="H14" i="9"/>
  <c r="I14" i="9"/>
  <c r="J14" i="9"/>
  <c r="K14" i="9"/>
  <c r="B16" i="9"/>
  <c r="D16" i="9"/>
  <c r="H16" i="9"/>
  <c r="I16" i="9"/>
  <c r="B17" i="9"/>
  <c r="C17" i="9"/>
  <c r="D17" i="9"/>
  <c r="E17" i="9"/>
  <c r="F17" i="9"/>
  <c r="G17" i="9"/>
  <c r="H17" i="9"/>
  <c r="I17" i="9"/>
  <c r="J17" i="9"/>
  <c r="K17" i="9"/>
  <c r="B18" i="9"/>
  <c r="C18" i="9"/>
  <c r="D18" i="9"/>
  <c r="E18" i="9"/>
  <c r="F18" i="9"/>
  <c r="G18" i="9"/>
  <c r="H18" i="9"/>
  <c r="I18" i="9"/>
  <c r="J18" i="9"/>
  <c r="K18" i="9"/>
  <c r="C20" i="9"/>
  <c r="D20" i="9"/>
  <c r="G20" i="9"/>
  <c r="H20" i="9"/>
  <c r="K20" i="9"/>
  <c r="J23" i="9"/>
  <c r="A1" i="8"/>
  <c r="A1" i="11" s="1"/>
  <c r="H1" i="8"/>
  <c r="B3" i="8"/>
  <c r="C3" i="8"/>
  <c r="D3" i="8"/>
  <c r="E3" i="8"/>
  <c r="F3" i="8"/>
  <c r="G3" i="8"/>
  <c r="H3" i="8"/>
  <c r="I3" i="8"/>
  <c r="J3" i="8"/>
  <c r="K3" i="8"/>
  <c r="B4" i="8"/>
  <c r="B6" i="8" s="1"/>
  <c r="B19" i="8" s="1"/>
  <c r="C4" i="8"/>
  <c r="C21" i="9" s="1"/>
  <c r="D4" i="8"/>
  <c r="D21" i="9" s="1"/>
  <c r="E4" i="8"/>
  <c r="E20" i="9" s="1"/>
  <c r="F4" i="8"/>
  <c r="J23" i="8" s="1"/>
  <c r="G4" i="8"/>
  <c r="G21" i="9" s="1"/>
  <c r="H4" i="8"/>
  <c r="H21" i="9" s="1"/>
  <c r="I4" i="8"/>
  <c r="I20" i="9" s="1"/>
  <c r="J4" i="8"/>
  <c r="J6" i="8" s="1"/>
  <c r="J19" i="8" s="1"/>
  <c r="K4" i="8"/>
  <c r="K21" i="9" s="1"/>
  <c r="B5" i="8"/>
  <c r="C5" i="8"/>
  <c r="C6" i="8" s="1"/>
  <c r="C19" i="8" s="1"/>
  <c r="D5" i="8"/>
  <c r="D6" i="8" s="1"/>
  <c r="D19" i="8" s="1"/>
  <c r="E5" i="8"/>
  <c r="F5" i="8"/>
  <c r="G5" i="8"/>
  <c r="H5" i="8"/>
  <c r="H6" i="8" s="1"/>
  <c r="H19" i="8" s="1"/>
  <c r="I5" i="8"/>
  <c r="J5" i="8"/>
  <c r="K5" i="8"/>
  <c r="K6" i="8" s="1"/>
  <c r="K19" i="8" s="1"/>
  <c r="G6" i="8"/>
  <c r="G19" i="8" s="1"/>
  <c r="B7" i="8"/>
  <c r="C7" i="8"/>
  <c r="D7" i="8"/>
  <c r="E7" i="8"/>
  <c r="F7" i="8"/>
  <c r="G7" i="8"/>
  <c r="H7" i="8"/>
  <c r="I7" i="8"/>
  <c r="J7" i="8"/>
  <c r="K7" i="8"/>
  <c r="B8" i="8"/>
  <c r="C8" i="8"/>
  <c r="D8" i="8"/>
  <c r="E8" i="8"/>
  <c r="F8" i="8"/>
  <c r="G8" i="8"/>
  <c r="H8" i="8"/>
  <c r="I8" i="8"/>
  <c r="J8" i="8"/>
  <c r="K8" i="8"/>
  <c r="B9" i="8"/>
  <c r="C9" i="8"/>
  <c r="D9" i="8"/>
  <c r="E9" i="8"/>
  <c r="F9" i="8"/>
  <c r="G9" i="8"/>
  <c r="H9" i="8"/>
  <c r="I9" i="8"/>
  <c r="J9" i="8"/>
  <c r="K9" i="8"/>
  <c r="B10" i="8"/>
  <c r="C10" i="8"/>
  <c r="D10" i="8"/>
  <c r="E10" i="8"/>
  <c r="F10" i="8"/>
  <c r="G10" i="8"/>
  <c r="H10" i="8"/>
  <c r="I10" i="8"/>
  <c r="J10" i="8"/>
  <c r="K10" i="8"/>
  <c r="B11" i="8"/>
  <c r="C11" i="8"/>
  <c r="D11" i="8"/>
  <c r="E11" i="8"/>
  <c r="F11" i="8"/>
  <c r="G11" i="8"/>
  <c r="H11" i="8"/>
  <c r="I11" i="8"/>
  <c r="J11" i="8"/>
  <c r="K11" i="8"/>
  <c r="B12" i="8"/>
  <c r="C12" i="8"/>
  <c r="C13" i="8" s="1"/>
  <c r="D12" i="8"/>
  <c r="D13" i="8" s="1"/>
  <c r="E12" i="8"/>
  <c r="F12" i="8"/>
  <c r="G12" i="8"/>
  <c r="G13" i="8" s="1"/>
  <c r="H12" i="8"/>
  <c r="H13" i="8" s="1"/>
  <c r="I12" i="8"/>
  <c r="J12" i="8"/>
  <c r="K12" i="8"/>
  <c r="K13" i="8" s="1"/>
  <c r="B13" i="8"/>
  <c r="B14" i="8" s="1"/>
  <c r="E13" i="8"/>
  <c r="F13" i="8"/>
  <c r="I13" i="8"/>
  <c r="J13" i="8"/>
  <c r="J14" i="8" s="1"/>
  <c r="E14" i="8"/>
  <c r="B15" i="8"/>
  <c r="C15" i="8"/>
  <c r="C14" i="8" s="1"/>
  <c r="D15" i="8"/>
  <c r="E15" i="8"/>
  <c r="F15" i="8"/>
  <c r="G15" i="8"/>
  <c r="G14" i="8" s="1"/>
  <c r="H15" i="8"/>
  <c r="I15" i="8"/>
  <c r="I14" i="8" s="1"/>
  <c r="J15" i="8"/>
  <c r="K15" i="8"/>
  <c r="K14" i="8" s="1"/>
  <c r="L15" i="8"/>
  <c r="B18" i="8"/>
  <c r="C18" i="8"/>
  <c r="D18" i="8"/>
  <c r="E18" i="8"/>
  <c r="F18" i="8"/>
  <c r="G18" i="8"/>
  <c r="H18" i="8"/>
  <c r="I18" i="8"/>
  <c r="J18" i="8"/>
  <c r="K18" i="8"/>
  <c r="I23" i="8"/>
  <c r="K23" i="8"/>
  <c r="F21" i="9" l="1"/>
  <c r="J21" i="9"/>
  <c r="F6" i="8"/>
  <c r="F19" i="8" s="1"/>
  <c r="F14" i="8"/>
  <c r="I25" i="8" s="1"/>
  <c r="L4" i="8"/>
  <c r="L23" i="8" s="1"/>
  <c r="M23" i="8" s="1"/>
  <c r="M4" i="8" s="1"/>
  <c r="J20" i="9"/>
  <c r="F20" i="9"/>
  <c r="B20" i="9"/>
  <c r="K16" i="9"/>
  <c r="G16" i="9"/>
  <c r="C16" i="9"/>
  <c r="K24" i="9"/>
  <c r="G24" i="9"/>
  <c r="C24" i="9"/>
  <c r="I23" i="9"/>
  <c r="E23" i="9"/>
  <c r="L10" i="8"/>
  <c r="L9" i="8"/>
  <c r="N9" i="8" s="1"/>
  <c r="L5" i="8"/>
  <c r="I14" i="11"/>
  <c r="E14" i="11"/>
  <c r="D23" i="9"/>
  <c r="B21" i="9"/>
  <c r="H23" i="8"/>
  <c r="N23" i="8" s="1"/>
  <c r="N4" i="8" s="1"/>
  <c r="H23" i="9"/>
  <c r="I21" i="9"/>
  <c r="E21" i="9"/>
  <c r="A1" i="9"/>
  <c r="A1" i="10" s="1"/>
  <c r="H14" i="8"/>
  <c r="D14" i="8"/>
  <c r="L12" i="8"/>
  <c r="L13" i="8" s="1"/>
  <c r="L14" i="8" s="1"/>
  <c r="L25" i="8" s="1"/>
  <c r="L11" i="8"/>
  <c r="M11" i="8" s="1"/>
  <c r="L6" i="8"/>
  <c r="L19" i="8" s="1"/>
  <c r="L24" i="8" s="1"/>
  <c r="H14" i="11"/>
  <c r="D14" i="11"/>
  <c r="M9" i="8"/>
  <c r="I24" i="9"/>
  <c r="E24" i="9"/>
  <c r="H24" i="9"/>
  <c r="D24" i="9"/>
  <c r="J25" i="8"/>
  <c r="H25" i="8"/>
  <c r="N8" i="8"/>
  <c r="I6" i="8"/>
  <c r="I19" i="8" s="1"/>
  <c r="K24" i="8" s="1"/>
  <c r="M24" i="8" s="1"/>
  <c r="M6" i="8" s="1"/>
  <c r="E6" i="8"/>
  <c r="E19" i="8" s="1"/>
  <c r="H24" i="8" s="1"/>
  <c r="N11" i="8" l="1"/>
  <c r="K25" i="8"/>
  <c r="M25" i="8" s="1"/>
  <c r="M14" i="8" s="1"/>
  <c r="N25" i="8"/>
  <c r="N14" i="8" s="1"/>
  <c r="M10" i="8"/>
  <c r="M12" i="8" s="1"/>
  <c r="M13" i="8" s="1"/>
  <c r="M15" i="8" s="1"/>
  <c r="M5" i="8"/>
  <c r="J24" i="8"/>
  <c r="I24" i="8"/>
  <c r="N24" i="8" s="1"/>
  <c r="N6" i="8" s="1"/>
  <c r="N10" i="8" l="1"/>
  <c r="N12" i="8" s="1"/>
  <c r="N13" i="8" s="1"/>
  <c r="N15" i="8" s="1"/>
  <c r="N5" i="8"/>
  <c r="I88" i="13" l="1"/>
  <c r="M50" i="13"/>
  <c r="M90" i="13" s="1"/>
  <c r="K45" i="13" l="1"/>
  <c r="K89" i="13" s="1"/>
  <c r="K44" i="13"/>
  <c r="K88" i="13" s="1"/>
  <c r="M45" i="13"/>
  <c r="M89" i="13" s="1"/>
  <c r="L45" i="13"/>
  <c r="L89" i="13" s="1"/>
  <c r="J50" i="13"/>
  <c r="J90" i="13" s="1"/>
  <c r="K50" i="13"/>
  <c r="K90" i="13" s="1"/>
  <c r="J45" i="13"/>
  <c r="J89" i="13" s="1"/>
  <c r="M44" i="13"/>
  <c r="M88" i="13" s="1"/>
  <c r="L44" i="13"/>
  <c r="L88" i="13" s="1"/>
  <c r="L50" i="13"/>
  <c r="L90" i="13" s="1"/>
  <c r="I50" i="13"/>
  <c r="I45" i="13"/>
  <c r="I89" i="13" s="1"/>
  <c r="J44" i="13"/>
  <c r="J88" i="13" s="1"/>
  <c r="J91" i="13" l="1"/>
  <c r="M91" i="13"/>
  <c r="K91" i="13"/>
  <c r="L91" i="13"/>
  <c r="I90" i="13"/>
  <c r="I91" i="13" s="1"/>
  <c r="K92" i="13" l="1"/>
  <c r="K67" i="13" s="1"/>
  <c r="L92" i="13"/>
  <c r="L67" i="13" s="1"/>
  <c r="M92" i="13"/>
  <c r="M67" i="13" s="1"/>
  <c r="I92" i="13"/>
  <c r="I67" i="13" s="1"/>
  <c r="J92" i="13"/>
  <c r="J67" i="13" s="1"/>
  <c r="I76" i="13"/>
  <c r="K76" i="13"/>
  <c r="L76" i="13"/>
  <c r="M76" i="13"/>
  <c r="J76" i="13"/>
  <c r="J54" i="13" l="1"/>
  <c r="K54" i="13" l="1"/>
  <c r="L54" i="13" l="1"/>
  <c r="M54" i="13" l="1"/>
  <c r="L102" i="13"/>
  <c r="L75" i="13"/>
  <c r="L77" i="13" s="1"/>
  <c r="L115" i="13" s="1"/>
  <c r="K102" i="13"/>
  <c r="K75" i="13"/>
  <c r="K77" i="13" s="1"/>
  <c r="K115" i="13" s="1"/>
  <c r="J102" i="13"/>
  <c r="J75" i="13"/>
  <c r="J77" i="13" s="1"/>
  <c r="J115" i="13" s="1"/>
  <c r="M102" i="13"/>
  <c r="M75" i="13"/>
  <c r="M77" i="13" s="1"/>
  <c r="M115" i="13" s="1"/>
  <c r="I32" i="13"/>
  <c r="I33" i="13" s="1"/>
  <c r="I34" i="13" s="1"/>
  <c r="I102" i="13"/>
  <c r="I75" i="13"/>
  <c r="I77" i="13" s="1"/>
  <c r="I115" i="13" s="1"/>
  <c r="I36" i="13" l="1"/>
  <c r="I37" i="13" s="1"/>
  <c r="I51" i="13"/>
  <c r="I52" i="13" s="1"/>
  <c r="J101" i="13"/>
  <c r="I65" i="13" l="1"/>
  <c r="I68" i="13" s="1"/>
  <c r="I55" i="13"/>
  <c r="J104" i="13"/>
  <c r="J32" i="13" s="1"/>
  <c r="J33" i="13" s="1"/>
  <c r="J34" i="13" s="1"/>
  <c r="J103" i="13"/>
  <c r="J36" i="13" l="1"/>
  <c r="J37" i="13" s="1"/>
  <c r="J65" i="13" s="1"/>
  <c r="J68" i="13" s="1"/>
  <c r="I56" i="13"/>
  <c r="I57" i="13" s="1"/>
  <c r="K101" i="13"/>
  <c r="J51" i="13"/>
  <c r="J52" i="13" s="1"/>
  <c r="I79" i="13"/>
  <c r="I81" i="13" s="1"/>
  <c r="I113" i="13"/>
  <c r="J55" i="13" l="1"/>
  <c r="J56" i="13" s="1"/>
  <c r="J57" i="13" s="1"/>
  <c r="I43" i="13"/>
  <c r="I47" i="13" s="1"/>
  <c r="I59" i="13" s="1"/>
  <c r="J80" i="13"/>
  <c r="J113" i="13"/>
  <c r="J79" i="13"/>
  <c r="K103" i="13"/>
  <c r="K104" i="13" s="1"/>
  <c r="K32" i="13" s="1"/>
  <c r="K33" i="13" s="1"/>
  <c r="K34" i="13" s="1"/>
  <c r="J81" i="13" l="1"/>
  <c r="J43" i="13" s="1"/>
  <c r="J47" i="13" s="1"/>
  <c r="J59" i="13" s="1"/>
  <c r="K36" i="13"/>
  <c r="K37" i="13" s="1"/>
  <c r="K51" i="13"/>
  <c r="K52" i="13" s="1"/>
  <c r="L101" i="13"/>
  <c r="K80" i="13" l="1"/>
  <c r="K65" i="13"/>
  <c r="K68" i="13" s="1"/>
  <c r="K55" i="13"/>
  <c r="L104" i="13"/>
  <c r="L32" i="13" s="1"/>
  <c r="L33" i="13" s="1"/>
  <c r="L34" i="13" s="1"/>
  <c r="L103" i="13"/>
  <c r="M101" i="13" l="1"/>
  <c r="L51" i="13"/>
  <c r="L52" i="13" s="1"/>
  <c r="L36" i="13"/>
  <c r="L37" i="13" s="1"/>
  <c r="L65" i="13" s="1"/>
  <c r="L68" i="13" s="1"/>
  <c r="K56" i="13"/>
  <c r="K57" i="13" s="1"/>
  <c r="K79" i="13"/>
  <c r="K81" i="13" s="1"/>
  <c r="K113" i="13"/>
  <c r="L80" i="13" l="1"/>
  <c r="K43" i="13"/>
  <c r="K47" i="13" s="1"/>
  <c r="K59" i="13" s="1"/>
  <c r="L79" i="13"/>
  <c r="L113" i="13"/>
  <c r="L55" i="13"/>
  <c r="M103" i="13"/>
  <c r="M51" i="13" s="1"/>
  <c r="M52" i="13" s="1"/>
  <c r="L81" i="13" l="1"/>
  <c r="M80" i="13" s="1"/>
  <c r="L56" i="13"/>
  <c r="L57" i="13" s="1"/>
  <c r="M104" i="13"/>
  <c r="M32" i="13" s="1"/>
  <c r="M33" i="13" s="1"/>
  <c r="M34" i="13" s="1"/>
  <c r="L43" i="13" l="1"/>
  <c r="L47" i="13" s="1"/>
  <c r="L59" i="13" s="1"/>
  <c r="M36" i="13"/>
  <c r="M37" i="13" s="1"/>
  <c r="M65" i="13" l="1"/>
  <c r="M68" i="13" s="1"/>
  <c r="M55" i="13"/>
  <c r="M56" i="13" s="1"/>
  <c r="M57" i="13" s="1"/>
  <c r="M113" i="13" l="1"/>
  <c r="M79" i="13"/>
  <c r="M81" i="13" s="1"/>
  <c r="M43" i="13" s="1"/>
  <c r="M47" i="13" s="1"/>
  <c r="M59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1" authorId="0" shapeId="0" xr:uid="{56C5EC57-492E-4C2B-9768-24041C63AF8A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I12" authorId="0" shapeId="0" xr:uid="{BED16ED9-9244-4848-A851-AC6245176BA7}">
      <text>
        <r>
          <rPr>
            <sz val="11"/>
            <color theme="1"/>
            <rFont val="Calibri"/>
            <family val="2"/>
            <scheme val="minor"/>
          </rPr>
          <t xml:space="preserve">
Average balance</t>
        </r>
      </text>
    </comment>
    <comment ref="A101" authorId="0" shapeId="0" xr:uid="{B0329040-8C19-4799-B503-B735F7262926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</comments>
</file>

<file path=xl/sharedStrings.xml><?xml version="1.0" encoding="utf-8"?>
<sst xmlns="http://schemas.openxmlformats.org/spreadsheetml/2006/main" count="221" uniqueCount="157">
  <si>
    <t>Price to Earning</t>
  </si>
  <si>
    <t>OPM</t>
  </si>
  <si>
    <t>Sales Growth</t>
  </si>
  <si>
    <t>WORST</t>
  </si>
  <si>
    <t>BEST</t>
  </si>
  <si>
    <t>RECENT</t>
  </si>
  <si>
    <t>3 YEARS</t>
  </si>
  <si>
    <t>5 YEARS</t>
  </si>
  <si>
    <t>7 YEARS</t>
  </si>
  <si>
    <t>10 YEARS</t>
  </si>
  <si>
    <t>TRENDS:</t>
  </si>
  <si>
    <t>Dividend Payout</t>
  </si>
  <si>
    <t>RATIOS:</t>
  </si>
  <si>
    <t>Price</t>
  </si>
  <si>
    <t>Price to earning</t>
  </si>
  <si>
    <t>EPS</t>
  </si>
  <si>
    <t>Net profit</t>
  </si>
  <si>
    <t>Tax</t>
  </si>
  <si>
    <t>Profit before tax</t>
  </si>
  <si>
    <t>Interest</t>
  </si>
  <si>
    <t>Depreciation</t>
  </si>
  <si>
    <t>Other Income</t>
  </si>
  <si>
    <t>Operating Profit</t>
  </si>
  <si>
    <t>Expenses</t>
  </si>
  <si>
    <t>Sales</t>
  </si>
  <si>
    <t>Worst Case</t>
  </si>
  <si>
    <t>Best Case</t>
  </si>
  <si>
    <t>Trailing</t>
  </si>
  <si>
    <t>Narration</t>
  </si>
  <si>
    <t>SCREENER.IN</t>
  </si>
  <si>
    <t>Return on Capital Emp</t>
  </si>
  <si>
    <t>Return on Equity</t>
  </si>
  <si>
    <t>Inventory Turnover</t>
  </si>
  <si>
    <t>Debtor Days</t>
  </si>
  <si>
    <t>Inventory</t>
  </si>
  <si>
    <t>Debtors</t>
  </si>
  <si>
    <t>Working Capital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</si>
  <si>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</si>
  <si>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</si>
  <si>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</si>
  <si>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</si>
  <si>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</si>
  <si>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</si>
  <si>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</si>
  <si>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</si>
  <si>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</si>
  <si>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Net Cash Flow</t>
  </si>
  <si>
    <t>Cash from Financing Activity</t>
  </si>
  <si>
    <t>Cash from Investing Activity</t>
  </si>
  <si>
    <t>Cash from Operating Activity</t>
  </si>
  <si>
    <t>Adjusted Equity Shares in Cr</t>
  </si>
  <si>
    <t>DERIVED:</t>
  </si>
  <si>
    <t>PRICE:</t>
  </si>
  <si>
    <t>Report Date</t>
  </si>
  <si>
    <t>CASH FLOW:</t>
  </si>
  <si>
    <t>Face value</t>
  </si>
  <si>
    <t>New Bonus Shares</t>
  </si>
  <si>
    <t>No. of Equity Shares</t>
  </si>
  <si>
    <t>Cash &amp; Bank</t>
  </si>
  <si>
    <t>Receivables</t>
  </si>
  <si>
    <t>BALANCE SHEET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</si>
  <si>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</si>
  <si>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</si>
  <si>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</si>
  <si>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</si>
  <si>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</si>
  <si>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</si>
  <si>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</si>
  <si>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</si>
  <si>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</si>
  <si>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</si>
  <si>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</si>
  <si>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</si>
  <si>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</si>
  <si>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</si>
  <si>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</si>
  <si>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</si>
  <si>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</si>
  <si>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</si>
  <si>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TITAN COMPANY LTD</t>
  </si>
  <si>
    <t>COMPANY NAME</t>
  </si>
  <si>
    <t>Historical Results</t>
  </si>
  <si>
    <t>Assumptions</t>
  </si>
  <si>
    <t>Key Assumptions</t>
  </si>
  <si>
    <t>Revenue Growth (% Change)</t>
  </si>
  <si>
    <t>Cost of Goods Sold (% of Revenue)</t>
  </si>
  <si>
    <t>Salaries and Benefits (% of Revenue)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</si>
  <si>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</si>
  <si>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</si>
  <si>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</si>
  <si>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</si>
  <si>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</si>
  <si>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</si>
  <si>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Days in Period</t>
  </si>
  <si>
    <t xml:space="preserve">Capital Expenditures </t>
  </si>
  <si>
    <t xml:space="preserve">Debt Issuance (Repayment) </t>
  </si>
  <si>
    <t xml:space="preserve">Equity Issued (Repaid) </t>
  </si>
  <si>
    <t xml:space="preserve">Rent and Overhead </t>
  </si>
  <si>
    <t>Income Statement</t>
  </si>
  <si>
    <t>Revenue</t>
  </si>
  <si>
    <t>Cost of Goods Sold (COGS)</t>
  </si>
  <si>
    <t>Gross Profit</t>
  </si>
  <si>
    <t>Salaries and Benefits</t>
  </si>
  <si>
    <t>Rent and Overhead</t>
  </si>
  <si>
    <t>Depreciation &amp; Amortization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</si>
  <si>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</si>
  <si>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</si>
  <si>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</si>
  <si>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</si>
  <si>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</si>
  <si>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</si>
  <si>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</si>
  <si>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</si>
  <si>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</si>
  <si>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</si>
  <si>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</si>
  <si>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</si>
  <si>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</si>
  <si>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</si>
  <si>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</si>
  <si>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</si>
  <si>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</si>
  <si>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</si>
  <si>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</si>
  <si>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</si>
  <si>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</si>
  <si>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</si>
  <si>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</si>
  <si>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</si>
  <si>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</si>
  <si>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</si>
  <si>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</si>
  <si>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</si>
  <si>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</si>
  <si>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</si>
  <si>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</si>
  <si>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</si>
  <si>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</si>
  <si>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</si>
  <si>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</si>
  <si>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</si>
  <si>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</si>
  <si>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</si>
  <si>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</si>
  <si>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</si>
  <si>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</si>
  <si>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</si>
  <si>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</si>
  <si>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</si>
  <si>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</si>
  <si>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</si>
  <si>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</si>
  <si>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</si>
  <si>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</si>
  <si>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</si>
  <si>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>TITAN (Three Statement Model)</t>
  </si>
  <si>
    <t>Forecast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</si>
</sst>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-* #,##0_-;\(#,##0\)_-;_-* &quot;-&quot;_-;_-@"/>
    <numFmt numFmtId="167" formatCode="0.0%"/>
    <numFmt numFmtId="168" formatCode="_(* #,##0_);_(* \(#,##0\);_(* &quot;-&quot;??_);_(@_)"/>
    <numFmt numFmtId="169" formatCode="_-* #,##0_-;\-* #,##0_-;_-* &quot;-&quot;??_-;_-@"/>
    <numFmt numFmtId="170" formatCode="0.0000_ ;\-0.0000\ "/>
    <numFmt numFmtId="173" formatCode="0.00_ ;\-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Arial Narrow"/>
      <family val="2"/>
    </font>
    <font>
      <b/>
      <sz val="14"/>
      <color rgb="FF3271D2"/>
      <name val="Open Sans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1"/>
      <color theme="0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sz val="12"/>
      <color theme="4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E7F2FF"/>
        <bgColor rgb="FF000000"/>
      </patternFill>
    </fill>
    <fill>
      <patternFill patternType="solid">
        <fgColor rgb="FF4B2E8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164" fontId="3" fillId="0" borderId="0" xfId="3" applyFont="1" applyBorder="1"/>
    <xf numFmtId="164" fontId="1" fillId="0" borderId="0" xfId="3" applyFont="1" applyBorder="1"/>
    <xf numFmtId="10" fontId="3" fillId="0" borderId="0" xfId="0" applyNumberFormat="1" applyFont="1"/>
    <xf numFmtId="10" fontId="0" fillId="0" borderId="0" xfId="0" applyNumberFormat="1"/>
    <xf numFmtId="0" fontId="3" fillId="0" borderId="0" xfId="0" applyFont="1"/>
    <xf numFmtId="0" fontId="2" fillId="5" borderId="0" xfId="0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/>
    <xf numFmtId="164" fontId="2" fillId="3" borderId="0" xfId="4" applyNumberFormat="1" applyFont="1" applyBorder="1"/>
    <xf numFmtId="164" fontId="2" fillId="2" borderId="0" xfId="5" applyNumberFormat="1" applyFont="1" applyBorder="1"/>
    <xf numFmtId="9" fontId="1" fillId="0" borderId="0" xfId="3" applyNumberFormat="1" applyFont="1" applyBorder="1"/>
    <xf numFmtId="0" fontId="5" fillId="0" borderId="0" xfId="0" applyFont="1"/>
    <xf numFmtId="9" fontId="3" fillId="0" borderId="0" xfId="1" applyFont="1" applyBorder="1"/>
    <xf numFmtId="164" fontId="0" fillId="0" borderId="0" xfId="3" applyFont="1" applyBorder="1"/>
    <xf numFmtId="164" fontId="0" fillId="0" borderId="0" xfId="3" applyFont="1" applyBorder="1" applyAlignment="1">
      <alignment horizontal="center"/>
    </xf>
    <xf numFmtId="164" fontId="3" fillId="0" borderId="0" xfId="3" applyFont="1" applyBorder="1" applyAlignment="1">
      <alignment horizontal="center"/>
    </xf>
    <xf numFmtId="0" fontId="6" fillId="0" borderId="0" xfId="0" applyFont="1"/>
    <xf numFmtId="43" fontId="0" fillId="0" borderId="0" xfId="3" applyNumberFormat="1" applyFont="1" applyBorder="1"/>
    <xf numFmtId="165" fontId="6" fillId="0" borderId="0" xfId="3" applyNumberFormat="1" applyFont="1" applyFill="1" applyBorder="1"/>
    <xf numFmtId="165" fontId="2" fillId="5" borderId="0" xfId="3" applyNumberFormat="1" applyFont="1" applyFill="1" applyBorder="1"/>
    <xf numFmtId="166" fontId="8" fillId="0" borderId="0" xfId="0" applyNumberFormat="1" applyFont="1"/>
    <xf numFmtId="166" fontId="8" fillId="0" borderId="0" xfId="0" applyNumberFormat="1" applyFont="1" applyAlignment="1">
      <alignment horizontal="center"/>
    </xf>
    <xf numFmtId="0" fontId="9" fillId="6" borderId="0" xfId="0" applyFont="1" applyFill="1" applyAlignment="1">
      <alignment vertical="center"/>
    </xf>
    <xf numFmtId="166" fontId="10" fillId="0" borderId="0" xfId="0" applyNumberFormat="1" applyFont="1"/>
    <xf numFmtId="166" fontId="11" fillId="0" borderId="0" xfId="0" applyNumberFormat="1" applyFont="1"/>
    <xf numFmtId="166" fontId="8" fillId="0" borderId="1" xfId="0" applyNumberFormat="1" applyFont="1" applyBorder="1"/>
    <xf numFmtId="166" fontId="11" fillId="0" borderId="1" xfId="0" applyNumberFormat="1" applyFont="1" applyBorder="1"/>
    <xf numFmtId="166" fontId="11" fillId="0" borderId="1" xfId="0" applyNumberFormat="1" applyFont="1" applyBorder="1" applyAlignment="1">
      <alignment horizontal="center"/>
    </xf>
    <xf numFmtId="167" fontId="8" fillId="0" borderId="1" xfId="0" applyNumberFormat="1" applyFont="1" applyBorder="1"/>
    <xf numFmtId="167" fontId="10" fillId="0" borderId="1" xfId="0" applyNumberFormat="1" applyFont="1" applyBorder="1"/>
    <xf numFmtId="167" fontId="8" fillId="0" borderId="0" xfId="0" applyNumberFormat="1" applyFont="1"/>
    <xf numFmtId="167" fontId="10" fillId="0" borderId="0" xfId="0" applyNumberFormat="1" applyFont="1"/>
    <xf numFmtId="166" fontId="12" fillId="0" borderId="0" xfId="0" applyNumberFormat="1" applyFont="1"/>
    <xf numFmtId="166" fontId="12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66" fontId="13" fillId="0" borderId="0" xfId="0" applyNumberFormat="1" applyFont="1"/>
    <xf numFmtId="168" fontId="8" fillId="0" borderId="0" xfId="0" applyNumberFormat="1" applyFont="1"/>
    <xf numFmtId="9" fontId="13" fillId="0" borderId="0" xfId="0" applyNumberFormat="1" applyFont="1"/>
    <xf numFmtId="166" fontId="8" fillId="0" borderId="2" xfId="0" applyNumberFormat="1" applyFont="1" applyBorder="1"/>
    <xf numFmtId="166" fontId="8" fillId="0" borderId="2" xfId="0" applyNumberFormat="1" applyFont="1" applyBorder="1" applyAlignment="1">
      <alignment horizontal="center"/>
    </xf>
    <xf numFmtId="166" fontId="10" fillId="0" borderId="2" xfId="0" applyNumberFormat="1" applyFont="1" applyBorder="1"/>
    <xf numFmtId="166" fontId="11" fillId="0" borderId="3" xfId="0" applyNumberFormat="1" applyFont="1" applyBorder="1"/>
    <xf numFmtId="166" fontId="11" fillId="0" borderId="3" xfId="0" applyNumberFormat="1" applyFont="1" applyBorder="1" applyAlignment="1">
      <alignment horizontal="center"/>
    </xf>
    <xf numFmtId="0" fontId="14" fillId="0" borderId="0" xfId="0" applyFont="1"/>
    <xf numFmtId="169" fontId="8" fillId="0" borderId="0" xfId="0" applyNumberFormat="1" applyFont="1"/>
    <xf numFmtId="166" fontId="11" fillId="0" borderId="4" xfId="0" applyNumberFormat="1" applyFont="1" applyBorder="1"/>
    <xf numFmtId="166" fontId="11" fillId="0" borderId="4" xfId="0" applyNumberFormat="1" applyFont="1" applyBorder="1" applyAlignment="1">
      <alignment horizontal="center"/>
    </xf>
    <xf numFmtId="170" fontId="12" fillId="0" borderId="0" xfId="0" applyNumberFormat="1" applyFont="1"/>
    <xf numFmtId="170" fontId="12" fillId="0" borderId="0" xfId="0" applyNumberFormat="1" applyFont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9" fontId="8" fillId="0" borderId="0" xfId="0" applyNumberFormat="1" applyFont="1"/>
    <xf numFmtId="166" fontId="17" fillId="0" borderId="0" xfId="0" applyNumberFormat="1" applyFont="1"/>
    <xf numFmtId="0" fontId="15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164" fontId="7" fillId="0" borderId="0" xfId="6" applyNumberFormat="1" applyBorder="1" applyAlignment="1" applyProtection="1">
      <alignment horizontal="center"/>
    </xf>
    <xf numFmtId="164" fontId="2" fillId="4" borderId="0" xfId="2" applyNumberFormat="1" applyFont="1" applyBorder="1" applyAlignment="1">
      <alignment horizontal="center"/>
    </xf>
    <xf numFmtId="173" fontId="12" fillId="0" borderId="0" xfId="0" applyNumberFormat="1" applyFont="1" applyAlignment="1">
      <alignment horizontal="center"/>
    </xf>
  </cellXfs>
  <cellStyles count="7">
    <cellStyle name="60% - Accent1 2" xfId="5" xr:uid="{33BFA962-71C2-40A5-8D4C-89D5315EEF8C}"/>
    <cellStyle name="60% - Accent3 2" xfId="4" xr:uid="{30492235-D1F5-4DF9-BFB1-673992C3D539}"/>
    <cellStyle name="Accent6" xfId="2" builtinId="49"/>
    <cellStyle name="Comma 2" xfId="3" xr:uid="{4879AB8E-CD2A-4537-AE8D-DE49EB5413B8}"/>
    <cellStyle name="Hyperlink 2" xfId="6" xr:uid="{FC220CBA-FA03-411B-90EB-9EBCFB69D2D3}"/>
    <cellStyle name="Normal" xfId="0" builtinId="0"/>
    <cellStyle name="Percent" xfId="1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colors>
    <mruColors>
      <color rgb="FF4B2E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64AF8-EB0D-4B5F-B97C-75A6E07F81E3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B903CD-FF9C-4303-9DF5-DB6DFAD53187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D0C6-7843-4E0F-BE2B-7E0552038F03}">
  <dimension ref="A1:Z116"/>
  <sheetViews>
    <sheetView tabSelected="1" workbookViewId="0">
      <pane ySplit="2" topLeftCell="A3" activePane="bottomLeft" state="frozen"/>
      <selection pane="bottomLeft" activeCell="I104" sqref="I104"/>
    </sheetView>
  </sheetViews>
  <sheetFormatPr defaultRowHeight="15" outlineLevelRow="1" x14ac:dyDescent="0.25"/>
  <cols>
    <col min="1" max="1" width="37.28515625" bestFit="1" customWidth="1"/>
    <col min="4" max="8" width="12" bestFit="1" customWidth="1"/>
    <col min="9" max="13" width="9" bestFit="1" customWidth="1"/>
  </cols>
  <sheetData>
    <row r="1" spans="1:26" ht="15.75" x14ac:dyDescent="0.25">
      <c r="A1" s="55" t="s">
        <v>155</v>
      </c>
      <c r="B1" s="55"/>
      <c r="C1" s="55"/>
      <c r="D1" s="54" t="s">
        <v>81</v>
      </c>
      <c r="E1" s="54"/>
      <c r="F1" s="54"/>
      <c r="G1" s="54"/>
      <c r="H1" s="54"/>
      <c r="I1" s="54" t="s">
        <v>156</v>
      </c>
      <c r="J1" s="54"/>
      <c r="K1" s="54"/>
      <c r="L1" s="54"/>
      <c r="M1" s="54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1" customHeight="1" x14ac:dyDescent="0.25">
      <c r="A2" s="55"/>
      <c r="B2" s="55"/>
      <c r="C2" s="55"/>
      <c r="D2" s="5">
        <v>2021</v>
      </c>
      <c r="E2" s="5">
        <f>D2+1</f>
        <v>2022</v>
      </c>
      <c r="F2" s="5">
        <f>E2+1</f>
        <v>2023</v>
      </c>
      <c r="G2" s="5">
        <f t="shared" ref="G2:M2" si="0">F2+1</f>
        <v>2024</v>
      </c>
      <c r="H2" s="5">
        <f t="shared" si="0"/>
        <v>2025</v>
      </c>
      <c r="I2" s="5">
        <f t="shared" si="0"/>
        <v>2026</v>
      </c>
      <c r="J2" s="5">
        <f t="shared" si="0"/>
        <v>2027</v>
      </c>
      <c r="K2" s="5">
        <f t="shared" si="0"/>
        <v>2028</v>
      </c>
      <c r="L2" s="5">
        <f t="shared" si="0"/>
        <v>2029</v>
      </c>
      <c r="M2" s="5">
        <f t="shared" si="0"/>
        <v>2030</v>
      </c>
    </row>
    <row r="3" spans="1:26" ht="15.75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1" outlineLevel="1" x14ac:dyDescent="0.25">
      <c r="A4" s="23" t="s">
        <v>82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outlineLevel="1" x14ac:dyDescent="0.25">
      <c r="A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outlineLevel="1" x14ac:dyDescent="0.25">
      <c r="A6" s="25" t="s">
        <v>83</v>
      </c>
      <c r="B6" s="21"/>
      <c r="C6" s="22"/>
      <c r="D6" s="21"/>
      <c r="E6" s="21"/>
      <c r="F6" s="21"/>
      <c r="G6" s="21"/>
      <c r="H6" s="21"/>
      <c r="I6" s="24"/>
      <c r="J6" s="24"/>
      <c r="K6" s="24"/>
      <c r="L6" s="24"/>
      <c r="M6" s="24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outlineLevel="1" x14ac:dyDescent="0.25">
      <c r="A7" s="26" t="s">
        <v>84</v>
      </c>
      <c r="B7" s="27"/>
      <c r="C7" s="28"/>
      <c r="D7" s="29"/>
      <c r="E7" s="29">
        <f>E25/D25-1</f>
        <v>0.33057660321567184</v>
      </c>
      <c r="F7" s="29">
        <f>F25/E25-1</f>
        <v>0.40890308691274013</v>
      </c>
      <c r="G7" s="29">
        <f>G25/F25-1</f>
        <v>0.25900184842883545</v>
      </c>
      <c r="H7" s="29">
        <f>H25/G25-1</f>
        <v>0.18346253229974163</v>
      </c>
      <c r="I7" s="30">
        <v>0.12</v>
      </c>
      <c r="J7" s="30">
        <v>0.14000000000000001</v>
      </c>
      <c r="K7" s="30">
        <v>0.13</v>
      </c>
      <c r="L7" s="30">
        <v>0.15</v>
      </c>
      <c r="M7" s="30">
        <v>0.15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outlineLevel="1" x14ac:dyDescent="0.25">
      <c r="A8" s="21" t="s">
        <v>85</v>
      </c>
      <c r="B8" s="21"/>
      <c r="C8" s="22"/>
      <c r="D8" s="31">
        <f>D26/D25</f>
        <v>0.7553132507854371</v>
      </c>
      <c r="E8" s="31">
        <f>E26/E25</f>
        <v>1.0923643182054932</v>
      </c>
      <c r="F8" s="31">
        <f>F26/F25</f>
        <v>0.86523721503388784</v>
      </c>
      <c r="G8" s="31">
        <f>G26/G25</f>
        <v>0.88346644741993574</v>
      </c>
      <c r="H8" s="31">
        <f>H26/H25</f>
        <v>1.0501852587005425</v>
      </c>
      <c r="I8" s="32">
        <v>0.8</v>
      </c>
      <c r="J8" s="32">
        <v>0.8</v>
      </c>
      <c r="K8" s="32">
        <v>0.82</v>
      </c>
      <c r="L8" s="32">
        <v>0.84</v>
      </c>
      <c r="M8" s="32">
        <v>0.85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outlineLevel="1" x14ac:dyDescent="0.25">
      <c r="A9" s="21" t="s">
        <v>86</v>
      </c>
      <c r="B9" s="21"/>
      <c r="C9" s="22"/>
      <c r="D9" s="31">
        <f>D29/D25</f>
        <v>4.9390131214193313E-2</v>
      </c>
      <c r="E9" s="31">
        <f>E29/E25</f>
        <v>4.7084968228063476E-2</v>
      </c>
      <c r="F9" s="31">
        <f>F29/F25</f>
        <v>4.0813308687615527E-2</v>
      </c>
      <c r="G9" s="31">
        <f>G29/G25</f>
        <v>3.6704251820530893E-2</v>
      </c>
      <c r="H9" s="31">
        <f>H29/H25</f>
        <v>3.5794627497684264E-2</v>
      </c>
      <c r="I9" s="32">
        <f>(D9+E9+F9+G9+H9)/5</f>
        <v>4.1957457489617489E-2</v>
      </c>
      <c r="J9" s="32">
        <f t="shared" ref="J9:M9" si="1">(E9+F9+G9+H9+I9)/5</f>
        <v>4.0470922744702334E-2</v>
      </c>
      <c r="K9" s="32">
        <f t="shared" si="1"/>
        <v>3.91481136480301E-2</v>
      </c>
      <c r="L9" s="32">
        <f t="shared" si="1"/>
        <v>3.8815074640113023E-2</v>
      </c>
      <c r="M9" s="32">
        <f t="shared" si="1"/>
        <v>3.9237239204029439E-2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outlineLevel="1" x14ac:dyDescent="0.25">
      <c r="A10" s="21" t="s">
        <v>97</v>
      </c>
      <c r="B10" s="21"/>
      <c r="C10" s="22"/>
      <c r="D10" s="21">
        <f>D30</f>
        <v>1229</v>
      </c>
      <c r="E10" s="21">
        <f>E30</f>
        <v>533</v>
      </c>
      <c r="F10" s="21">
        <f>F30</f>
        <v>683</v>
      </c>
      <c r="G10" s="21">
        <f>G30</f>
        <v>879</v>
      </c>
      <c r="H10" s="21">
        <f>H30</f>
        <v>1250</v>
      </c>
      <c r="I10" s="24">
        <f>(D10+E10+F10+G10+H10)/5</f>
        <v>914.8</v>
      </c>
      <c r="J10" s="24">
        <f t="shared" ref="J10:M10" si="2">(E10+F10+G10+H10+I10)/5</f>
        <v>851.96</v>
      </c>
      <c r="K10" s="24">
        <f t="shared" si="2"/>
        <v>915.75200000000007</v>
      </c>
      <c r="L10" s="24">
        <f t="shared" si="2"/>
        <v>962.30240000000015</v>
      </c>
      <c r="M10" s="24">
        <f t="shared" si="2"/>
        <v>978.96288000000004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outlineLevel="1" x14ac:dyDescent="0.25">
      <c r="A11" s="21" t="s">
        <v>87</v>
      </c>
      <c r="B11" s="21"/>
      <c r="C11" s="22"/>
      <c r="D11" s="31">
        <f>D31/D46</f>
        <v>0.14863258026159334</v>
      </c>
      <c r="E11" s="31">
        <f>E31/E46</f>
        <v>0.15683962264150944</v>
      </c>
      <c r="F11" s="31">
        <f>F31/F46</f>
        <v>0.14709806537691794</v>
      </c>
      <c r="G11" s="31">
        <f>G31/G46</f>
        <v>0.15745483957940146</v>
      </c>
      <c r="H11" s="31">
        <f>H31/H46</f>
        <v>0.17060561299852289</v>
      </c>
      <c r="I11" s="32">
        <f>(D11+E11+F11+G11+H11)/5</f>
        <v>0.15612614417158902</v>
      </c>
      <c r="J11" s="32">
        <f t="shared" ref="J11:M11" si="3">(E11+F11+G11+H11+I11)/5</f>
        <v>0.15762485695358813</v>
      </c>
      <c r="K11" s="32">
        <f t="shared" si="3"/>
        <v>0.1577819038160039</v>
      </c>
      <c r="L11" s="32">
        <f t="shared" si="3"/>
        <v>0.15991867150382105</v>
      </c>
      <c r="M11" s="32">
        <f t="shared" si="3"/>
        <v>0.16041143788870502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outlineLevel="1" x14ac:dyDescent="0.25">
      <c r="A12" s="21" t="s">
        <v>88</v>
      </c>
      <c r="B12" s="21"/>
      <c r="C12" s="22"/>
      <c r="D12" s="31">
        <f>D32/D51</f>
        <v>3.6005675771550193E-2</v>
      </c>
      <c r="E12" s="31">
        <f>E32/E51</f>
        <v>2.9965635738831615E-2</v>
      </c>
      <c r="F12" s="31">
        <f>F32/F51</f>
        <v>3.2027329988256643E-2</v>
      </c>
      <c r="G12" s="31">
        <f>G32/G51</f>
        <v>3.9863472436888203E-2</v>
      </c>
      <c r="H12" s="31">
        <f>H32/H51</f>
        <v>4.5868027145401162E-2</v>
      </c>
      <c r="I12" s="32">
        <f>(D12+E12+F12+G12+H12)/5</f>
        <v>3.6746028216185569E-2</v>
      </c>
      <c r="J12" s="32">
        <f t="shared" ref="J12:M12" si="4">(E12+F12+G12+H12+I12)/5</f>
        <v>3.6894098705112642E-2</v>
      </c>
      <c r="K12" s="32">
        <f t="shared" si="4"/>
        <v>3.8279791298368844E-2</v>
      </c>
      <c r="L12" s="32">
        <f t="shared" si="4"/>
        <v>3.9530283560391281E-2</v>
      </c>
      <c r="M12" s="32">
        <f t="shared" si="4"/>
        <v>3.94636457850919E-2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outlineLevel="1" x14ac:dyDescent="0.25">
      <c r="A13" s="21" t="s">
        <v>89</v>
      </c>
      <c r="B13" s="33"/>
      <c r="C13" s="34"/>
      <c r="D13" s="31">
        <f>D36/D34</f>
        <v>0.14586776859504133</v>
      </c>
      <c r="E13" s="31">
        <f>E36/E34</f>
        <v>-0.13666279519938057</v>
      </c>
      <c r="F13" s="31">
        <f>F36/F34</f>
        <v>0.49120603015075376</v>
      </c>
      <c r="G13" s="31">
        <f>G36/G34</f>
        <v>0.56462925851703405</v>
      </c>
      <c r="H13" s="31">
        <f>H36/H34</f>
        <v>-0.14801087225105017</v>
      </c>
      <c r="I13" s="32">
        <v>0.25</v>
      </c>
      <c r="J13" s="32">
        <v>0.25</v>
      </c>
      <c r="K13" s="32">
        <v>0.25</v>
      </c>
      <c r="L13" s="32">
        <v>0.25</v>
      </c>
      <c r="M13" s="32">
        <v>0.25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outlineLevel="1" x14ac:dyDescent="0.25">
      <c r="A14" s="21" t="s">
        <v>90</v>
      </c>
      <c r="B14" s="21"/>
      <c r="C14" s="35"/>
      <c r="D14" s="21">
        <f t="shared" ref="D14:H15" si="5">D44/D25*365</f>
        <v>6.172149325448161</v>
      </c>
      <c r="E14" s="21">
        <f t="shared" si="5"/>
        <v>7.160838918017987</v>
      </c>
      <c r="F14" s="21">
        <f t="shared" si="5"/>
        <v>6.0630930375847196</v>
      </c>
      <c r="G14" s="21">
        <f t="shared" si="5"/>
        <v>7.2737060527758199</v>
      </c>
      <c r="H14" s="21">
        <f t="shared" si="5"/>
        <v>6.4479952362048429</v>
      </c>
      <c r="I14" s="53">
        <v>6</v>
      </c>
      <c r="J14" s="53">
        <v>6</v>
      </c>
      <c r="K14" s="53">
        <v>6</v>
      </c>
      <c r="L14" s="53">
        <v>6</v>
      </c>
      <c r="M14" s="53">
        <v>6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outlineLevel="1" x14ac:dyDescent="0.25">
      <c r="A15" s="21" t="s">
        <v>91</v>
      </c>
      <c r="B15" s="21"/>
      <c r="C15" s="35"/>
      <c r="D15" s="21">
        <f t="shared" si="5"/>
        <v>187.72449229263518</v>
      </c>
      <c r="E15" s="21">
        <f t="shared" si="5"/>
        <v>157.89710416732891</v>
      </c>
      <c r="F15" s="21">
        <f t="shared" si="5"/>
        <v>172.42031503688725</v>
      </c>
      <c r="G15" s="21">
        <f t="shared" si="5"/>
        <v>154.07624470984467</v>
      </c>
      <c r="H15" s="21">
        <f t="shared" si="5"/>
        <v>162.02803591116711</v>
      </c>
      <c r="I15" s="53">
        <v>162</v>
      </c>
      <c r="J15" s="53">
        <v>152</v>
      </c>
      <c r="K15" s="53">
        <v>142</v>
      </c>
      <c r="L15" s="53">
        <v>134</v>
      </c>
      <c r="M15" s="53">
        <v>110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outlineLevel="1" x14ac:dyDescent="0.25">
      <c r="A16" s="21" t="s">
        <v>92</v>
      </c>
      <c r="B16" s="21"/>
      <c r="C16" s="35"/>
      <c r="D16" s="21">
        <f>D50/D26*365</f>
        <v>73.879679471494981</v>
      </c>
      <c r="E16" s="21">
        <f>E50/E26*365</f>
        <v>53.487078419530185</v>
      </c>
      <c r="F16" s="21">
        <f>F50/F26*365</f>
        <v>60.322157974193182</v>
      </c>
      <c r="G16" s="21">
        <f>G50/G26*365</f>
        <v>53.588220956770293</v>
      </c>
      <c r="H16" s="21">
        <f>H50/H26*365</f>
        <v>47.394235312647659</v>
      </c>
      <c r="I16" s="53">
        <v>47</v>
      </c>
      <c r="J16" s="53">
        <v>47</v>
      </c>
      <c r="K16" s="53">
        <v>50</v>
      </c>
      <c r="L16" s="53">
        <v>47</v>
      </c>
      <c r="M16" s="53">
        <v>47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outlineLevel="1" x14ac:dyDescent="0.25">
      <c r="A17" s="21" t="s">
        <v>94</v>
      </c>
      <c r="B17" s="21"/>
      <c r="C17" s="22"/>
      <c r="D17" s="21">
        <f>D71</f>
        <v>106</v>
      </c>
      <c r="E17" s="21">
        <f>E71</f>
        <v>38</v>
      </c>
      <c r="F17" s="21">
        <f>F71</f>
        <v>13</v>
      </c>
      <c r="G17" s="21">
        <f>G71</f>
        <v>177</v>
      </c>
      <c r="H17" s="21">
        <f>H71</f>
        <v>-2</v>
      </c>
      <c r="I17" s="24">
        <v>13</v>
      </c>
      <c r="J17" s="24">
        <v>54</v>
      </c>
      <c r="K17" s="24">
        <v>142</v>
      </c>
      <c r="L17" s="24">
        <v>114</v>
      </c>
      <c r="M17" s="24">
        <v>40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outlineLevel="1" x14ac:dyDescent="0.25">
      <c r="A18" s="21" t="s">
        <v>95</v>
      </c>
      <c r="B18" s="21"/>
      <c r="C18" s="22"/>
      <c r="D18" s="21">
        <f t="shared" ref="D18:H19" si="6">D75</f>
        <v>0</v>
      </c>
      <c r="E18" s="21">
        <f t="shared" si="6"/>
        <v>0</v>
      </c>
      <c r="F18" s="21">
        <f t="shared" si="6"/>
        <v>0</v>
      </c>
      <c r="G18" s="21">
        <f t="shared" si="6"/>
        <v>0</v>
      </c>
      <c r="H18" s="21">
        <f t="shared" si="6"/>
        <v>0</v>
      </c>
      <c r="I18" s="24"/>
      <c r="J18" s="24"/>
      <c r="K18" s="24"/>
      <c r="L18" s="24"/>
      <c r="M18" s="24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outlineLevel="1" x14ac:dyDescent="0.25">
      <c r="A19" s="21" t="s">
        <v>96</v>
      </c>
      <c r="B19" s="21"/>
      <c r="C19" s="22"/>
      <c r="D19" s="21">
        <f t="shared" si="6"/>
        <v>0</v>
      </c>
      <c r="E19" s="21">
        <f t="shared" si="6"/>
        <v>0</v>
      </c>
      <c r="F19" s="21">
        <f t="shared" si="6"/>
        <v>0</v>
      </c>
      <c r="G19" s="21">
        <f t="shared" si="6"/>
        <v>0</v>
      </c>
      <c r="H19" s="21">
        <f t="shared" si="6"/>
        <v>0</v>
      </c>
      <c r="I19" s="24"/>
      <c r="J19" s="24"/>
      <c r="K19" s="24"/>
      <c r="L19" s="24"/>
      <c r="M19" s="24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outlineLevel="1" x14ac:dyDescent="0.25">
      <c r="A20" s="21" t="s">
        <v>93</v>
      </c>
      <c r="B20" s="21"/>
      <c r="C20" s="22"/>
      <c r="D20" s="24">
        <v>365</v>
      </c>
      <c r="E20" s="24">
        <v>365</v>
      </c>
      <c r="F20" s="24">
        <v>365</v>
      </c>
      <c r="G20" s="24">
        <v>365</v>
      </c>
      <c r="H20" s="24">
        <v>365</v>
      </c>
      <c r="I20" s="24">
        <v>365</v>
      </c>
      <c r="J20" s="24">
        <v>365</v>
      </c>
      <c r="K20" s="24">
        <v>365</v>
      </c>
      <c r="L20" s="24">
        <v>365</v>
      </c>
      <c r="M20" s="24">
        <v>365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x14ac:dyDescent="0.25">
      <c r="A21" s="21"/>
      <c r="B21" s="21"/>
      <c r="C21" s="22"/>
      <c r="D21" s="21"/>
      <c r="E21" s="21"/>
      <c r="F21" s="21"/>
      <c r="G21" s="21"/>
      <c r="H21" s="21"/>
      <c r="I21" s="24"/>
      <c r="J21" s="24"/>
      <c r="K21" s="24"/>
      <c r="L21" s="24"/>
      <c r="M21" s="24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x14ac:dyDescent="0.25">
      <c r="A22" s="21"/>
      <c r="I22" s="24"/>
      <c r="J22" s="24"/>
      <c r="K22" s="24"/>
      <c r="L22" s="24"/>
      <c r="M22" s="24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1" outlineLevel="1" x14ac:dyDescent="0.25">
      <c r="A23" s="23" t="s">
        <v>98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outlineLevel="1" x14ac:dyDescent="0.25">
      <c r="A24" s="25"/>
      <c r="B24" s="25"/>
      <c r="C24" s="36"/>
      <c r="D24" s="37"/>
      <c r="E24" s="37"/>
      <c r="F24" s="37"/>
      <c r="G24" s="37"/>
      <c r="H24" s="37"/>
      <c r="I24" s="25"/>
      <c r="J24" s="25"/>
      <c r="K24" s="25"/>
      <c r="L24" s="25"/>
      <c r="M24" s="25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outlineLevel="1" x14ac:dyDescent="0.25">
      <c r="A25" s="25" t="s">
        <v>99</v>
      </c>
      <c r="B25" s="25"/>
      <c r="C25" s="36"/>
      <c r="D25" s="37">
        <f>IFERROR('Profit &amp; Loss '!G4,0)</f>
        <v>21644</v>
      </c>
      <c r="E25" s="37">
        <f>IFERROR('Profit &amp; Loss '!H4,0)</f>
        <v>28799</v>
      </c>
      <c r="F25" s="37">
        <f>IFERROR('Profit &amp; Loss '!I4,0)</f>
        <v>40575</v>
      </c>
      <c r="G25" s="37">
        <f>IFERROR('Profit &amp; Loss '!J4,0)</f>
        <v>51084</v>
      </c>
      <c r="H25" s="37">
        <f>IFERROR('Profit &amp; Loss '!K4,0)</f>
        <v>60456</v>
      </c>
      <c r="I25" s="25">
        <f t="shared" ref="I25:M25" si="7">H25*(1+I7)</f>
        <v>67710.720000000001</v>
      </c>
      <c r="J25" s="25">
        <f t="shared" si="7"/>
        <v>77190.22080000001</v>
      </c>
      <c r="K25" s="25">
        <f t="shared" si="7"/>
        <v>87224.949504000004</v>
      </c>
      <c r="L25" s="25">
        <f t="shared" si="7"/>
        <v>100308.6919296</v>
      </c>
      <c r="M25" s="25">
        <f t="shared" si="7"/>
        <v>115354.99571903999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outlineLevel="1" x14ac:dyDescent="0.25">
      <c r="A26" s="21" t="s">
        <v>100</v>
      </c>
      <c r="B26" s="21"/>
      <c r="C26" s="22"/>
      <c r="D26" s="24">
        <f>IFERROR('Data Sheet'!G18+'Data Sheet'!G19+'Data Sheet'!G21+'Data Sheet'!G20,0)</f>
        <v>16348</v>
      </c>
      <c r="E26" s="24">
        <f>IFERROR('Data Sheet'!H18+'Data Sheet'!H19+'Data Sheet'!H21+'Data Sheet'!H20,0)</f>
        <v>31459</v>
      </c>
      <c r="F26" s="24">
        <f>IFERROR('Data Sheet'!I18+'Data Sheet'!I19+'Data Sheet'!I21+'Data Sheet'!I20,0)</f>
        <v>35107</v>
      </c>
      <c r="G26" s="24">
        <f>IFERROR('Data Sheet'!J18+'Data Sheet'!J19+'Data Sheet'!J21+'Data Sheet'!J20,0)</f>
        <v>45131</v>
      </c>
      <c r="H26" s="24">
        <f>IFERROR('Data Sheet'!K18+'Data Sheet'!K19+'Data Sheet'!K21+'Data Sheet'!K20,0)</f>
        <v>63490</v>
      </c>
      <c r="I26" s="38">
        <f t="shared" ref="I26:M26" si="8">I25*I8</f>
        <v>54168.576000000001</v>
      </c>
      <c r="J26" s="38">
        <f t="shared" si="8"/>
        <v>61752.176640000012</v>
      </c>
      <c r="K26" s="38">
        <f t="shared" si="8"/>
        <v>71524.458593279996</v>
      </c>
      <c r="L26" s="38">
        <f t="shared" si="8"/>
        <v>84259.301220863999</v>
      </c>
      <c r="M26" s="38">
        <f t="shared" si="8"/>
        <v>98051.746361183992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outlineLevel="1" x14ac:dyDescent="0.25">
      <c r="A27" s="27" t="s">
        <v>101</v>
      </c>
      <c r="B27" s="27"/>
      <c r="C27" s="28"/>
      <c r="D27" s="27">
        <f t="shared" ref="D27:M27" si="9">D25-D26</f>
        <v>5296</v>
      </c>
      <c r="E27" s="27">
        <f t="shared" si="9"/>
        <v>-2660</v>
      </c>
      <c r="F27" s="27">
        <f t="shared" si="9"/>
        <v>5468</v>
      </c>
      <c r="G27" s="27">
        <f t="shared" si="9"/>
        <v>5953</v>
      </c>
      <c r="H27" s="27">
        <f t="shared" si="9"/>
        <v>-3034</v>
      </c>
      <c r="I27" s="27">
        <f t="shared" si="9"/>
        <v>13542.144</v>
      </c>
      <c r="J27" s="27">
        <f t="shared" si="9"/>
        <v>15438.044159999998</v>
      </c>
      <c r="K27" s="27">
        <f t="shared" si="9"/>
        <v>15700.490910720007</v>
      </c>
      <c r="L27" s="27">
        <f t="shared" si="9"/>
        <v>16049.390708735998</v>
      </c>
      <c r="M27" s="27">
        <f t="shared" si="9"/>
        <v>17303.249357855995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outlineLevel="1" x14ac:dyDescent="0.25">
      <c r="A28" s="25" t="s">
        <v>23</v>
      </c>
      <c r="B28" s="25"/>
      <c r="C28" s="36"/>
      <c r="D28" s="39"/>
      <c r="E28" s="39"/>
      <c r="F28" s="39"/>
      <c r="G28" s="39"/>
      <c r="H28" s="39"/>
      <c r="I28" s="39"/>
      <c r="J28" s="39"/>
      <c r="K28" s="39"/>
      <c r="L28" s="25"/>
      <c r="M28" s="25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outlineLevel="1" x14ac:dyDescent="0.25">
      <c r="A29" s="21" t="s">
        <v>102</v>
      </c>
      <c r="B29" s="21"/>
      <c r="C29" s="22"/>
      <c r="D29" s="24">
        <f>IFERROR('Data Sheet'!G22,0)</f>
        <v>1069</v>
      </c>
      <c r="E29" s="24">
        <f>IFERROR('Data Sheet'!H22,0)</f>
        <v>1356</v>
      </c>
      <c r="F29" s="24">
        <f>IFERROR('Data Sheet'!I22,0)</f>
        <v>1656</v>
      </c>
      <c r="G29" s="24">
        <f>IFERROR('Data Sheet'!J22,0)</f>
        <v>1875</v>
      </c>
      <c r="H29" s="24">
        <f>IFERROR('Data Sheet'!K22,0)</f>
        <v>2164</v>
      </c>
      <c r="I29" s="21">
        <f t="shared" ref="I29:M29" si="10">I9*I25</f>
        <v>2840.9696559913928</v>
      </c>
      <c r="J29" s="21">
        <f t="shared" si="10"/>
        <v>3123.9594626433154</v>
      </c>
      <c r="K29" s="21">
        <f t="shared" si="10"/>
        <v>3414.6922361262787</v>
      </c>
      <c r="L29" s="21">
        <f t="shared" si="10"/>
        <v>3893.4893642995266</v>
      </c>
      <c r="M29" s="21">
        <f t="shared" si="10"/>
        <v>4526.2115604077635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outlineLevel="1" x14ac:dyDescent="0.25">
      <c r="A30" s="21" t="s">
        <v>103</v>
      </c>
      <c r="B30" s="21"/>
      <c r="C30" s="22"/>
      <c r="D30" s="24">
        <f>IFERROR('Data Sheet'!G24,0)</f>
        <v>1229</v>
      </c>
      <c r="E30" s="24">
        <f>IFERROR('Data Sheet'!H24,0)</f>
        <v>533</v>
      </c>
      <c r="F30" s="24">
        <f>IFERROR('Data Sheet'!I24,0)</f>
        <v>683</v>
      </c>
      <c r="G30" s="24">
        <f>IFERROR('Data Sheet'!J24,0)</f>
        <v>879</v>
      </c>
      <c r="H30" s="24">
        <f>IFERROR('Data Sheet'!K24,0)</f>
        <v>1250</v>
      </c>
      <c r="I30" s="21">
        <f t="shared" ref="I30:M30" si="11">I10</f>
        <v>914.8</v>
      </c>
      <c r="J30" s="21">
        <f t="shared" si="11"/>
        <v>851.96</v>
      </c>
      <c r="K30" s="21">
        <f t="shared" si="11"/>
        <v>915.75200000000007</v>
      </c>
      <c r="L30" s="21">
        <f t="shared" si="11"/>
        <v>962.30240000000015</v>
      </c>
      <c r="M30" s="21">
        <f t="shared" si="11"/>
        <v>978.96288000000004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outlineLevel="1" x14ac:dyDescent="0.25">
      <c r="A31" s="21" t="s">
        <v>104</v>
      </c>
      <c r="B31" s="21"/>
      <c r="C31" s="22"/>
      <c r="D31" s="24">
        <f>IFERROR('Profit &amp; Loss '!G8,0)</f>
        <v>375</v>
      </c>
      <c r="E31" s="24">
        <f>IFERROR('Profit &amp; Loss '!H8,0)</f>
        <v>399</v>
      </c>
      <c r="F31" s="24">
        <f>IFERROR('Profit &amp; Loss '!I8,0)</f>
        <v>441</v>
      </c>
      <c r="G31" s="24">
        <f>IFERROR('Profit &amp; Loss '!J8,0)</f>
        <v>584</v>
      </c>
      <c r="H31" s="24">
        <f>IFERROR('Profit &amp; Loss '!K8,0)</f>
        <v>693</v>
      </c>
      <c r="I31" s="21">
        <f t="shared" ref="I31:M31" si="12">I66</f>
        <v>534.41979149934923</v>
      </c>
      <c r="J31" s="21">
        <f t="shared" si="12"/>
        <v>457.36116530427751</v>
      </c>
      <c r="K31" s="21">
        <f t="shared" si="12"/>
        <v>394.17375678491948</v>
      </c>
      <c r="L31" s="21">
        <f t="shared" si="12"/>
        <v>359.18457834033893</v>
      </c>
      <c r="M31" s="21">
        <f t="shared" si="12"/>
        <v>320.96094319669993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outlineLevel="1" x14ac:dyDescent="0.25">
      <c r="A32" s="40" t="s">
        <v>19</v>
      </c>
      <c r="B32" s="40"/>
      <c r="C32" s="41"/>
      <c r="D32" s="42">
        <f>IFERROR('Profit &amp; Loss '!G9,0)</f>
        <v>203</v>
      </c>
      <c r="E32" s="42">
        <f>IFERROR('Profit &amp; Loss '!H9,0)</f>
        <v>218</v>
      </c>
      <c r="F32" s="42">
        <f>IFERROR('Profit &amp; Loss '!I9,0)</f>
        <v>300</v>
      </c>
      <c r="G32" s="42">
        <f>IFERROR('Profit &amp; Loss '!J9,0)</f>
        <v>619</v>
      </c>
      <c r="H32" s="42">
        <f>IFERROR('Profit &amp; Loss '!K9,0)</f>
        <v>953</v>
      </c>
      <c r="I32" s="40">
        <f t="shared" ref="I32:M32" si="13">I104</f>
        <v>36.746028216185572</v>
      </c>
      <c r="J32" s="40">
        <f t="shared" si="13"/>
        <v>36.89409870511264</v>
      </c>
      <c r="K32" s="40">
        <f t="shared" si="13"/>
        <v>38.279791298368842</v>
      </c>
      <c r="L32" s="40">
        <f t="shared" si="13"/>
        <v>39.530283560391283</v>
      </c>
      <c r="M32" s="40">
        <f t="shared" si="13"/>
        <v>39.463645785091899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outlineLevel="1" x14ac:dyDescent="0.25">
      <c r="A33" s="25" t="s">
        <v>105</v>
      </c>
      <c r="B33" s="21"/>
      <c r="C33" s="22"/>
      <c r="D33" s="25">
        <f t="shared" ref="D33:M33" si="14">SUM(D29:D32)</f>
        <v>2876</v>
      </c>
      <c r="E33" s="25">
        <f t="shared" si="14"/>
        <v>2506</v>
      </c>
      <c r="F33" s="25">
        <f t="shared" si="14"/>
        <v>3080</v>
      </c>
      <c r="G33" s="25">
        <f t="shared" si="14"/>
        <v>3957</v>
      </c>
      <c r="H33" s="25">
        <f t="shared" si="14"/>
        <v>5060</v>
      </c>
      <c r="I33" s="25">
        <f t="shared" si="14"/>
        <v>4326.9354757069277</v>
      </c>
      <c r="J33" s="25">
        <f t="shared" si="14"/>
        <v>4470.1747266527054</v>
      </c>
      <c r="K33" s="25">
        <f t="shared" si="14"/>
        <v>4762.8977842095674</v>
      </c>
      <c r="L33" s="25">
        <f t="shared" si="14"/>
        <v>5254.5066262002574</v>
      </c>
      <c r="M33" s="25">
        <f t="shared" si="14"/>
        <v>5865.5990293895557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outlineLevel="1" x14ac:dyDescent="0.25">
      <c r="A34" s="27" t="s">
        <v>106</v>
      </c>
      <c r="B34" s="27"/>
      <c r="C34" s="28"/>
      <c r="D34" s="27">
        <f t="shared" ref="D34:M34" si="15">D27-D33</f>
        <v>2420</v>
      </c>
      <c r="E34" s="27">
        <f t="shared" si="15"/>
        <v>-5166</v>
      </c>
      <c r="F34" s="27">
        <f t="shared" si="15"/>
        <v>2388</v>
      </c>
      <c r="G34" s="27">
        <f t="shared" si="15"/>
        <v>1996</v>
      </c>
      <c r="H34" s="27">
        <f t="shared" si="15"/>
        <v>-8094</v>
      </c>
      <c r="I34" s="27">
        <f t="shared" si="15"/>
        <v>9215.2085242930734</v>
      </c>
      <c r="J34" s="27">
        <f t="shared" si="15"/>
        <v>10967.869433347292</v>
      </c>
      <c r="K34" s="27">
        <f t="shared" si="15"/>
        <v>10937.593126510441</v>
      </c>
      <c r="L34" s="27">
        <f t="shared" si="15"/>
        <v>10794.88408253574</v>
      </c>
      <c r="M34" s="27">
        <f t="shared" si="15"/>
        <v>11437.65032846644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outlineLevel="1" x14ac:dyDescent="0.25">
      <c r="A35" s="25"/>
      <c r="B35" s="25"/>
      <c r="C35" s="36"/>
      <c r="D35" s="37"/>
      <c r="E35" s="37"/>
      <c r="F35" s="37"/>
      <c r="G35" s="37"/>
      <c r="H35" s="37"/>
      <c r="I35" s="25"/>
      <c r="J35" s="25"/>
      <c r="K35" s="25"/>
      <c r="L35" s="25"/>
      <c r="M35" s="25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outlineLevel="1" x14ac:dyDescent="0.25">
      <c r="A36" s="21" t="s">
        <v>107</v>
      </c>
      <c r="B36" s="21"/>
      <c r="C36" s="22"/>
      <c r="D36" s="24">
        <f>IFERROR('Profit &amp; Loss '!G11,0)</f>
        <v>353</v>
      </c>
      <c r="E36" s="24">
        <f>IFERROR('Profit &amp; Loss '!H11,0)</f>
        <v>706</v>
      </c>
      <c r="F36" s="24">
        <f>IFERROR('Profit &amp; Loss '!I11,0)</f>
        <v>1173</v>
      </c>
      <c r="G36" s="24">
        <f>IFERROR('Profit &amp; Loss '!J11,0)</f>
        <v>1127</v>
      </c>
      <c r="H36" s="24">
        <f>IFERROR('Profit &amp; Loss '!K11,0)</f>
        <v>1198</v>
      </c>
      <c r="I36" s="38">
        <f t="shared" ref="I36:M36" si="16">I34*I13</f>
        <v>2303.8021310732684</v>
      </c>
      <c r="J36" s="38">
        <f t="shared" si="16"/>
        <v>2741.9673583368231</v>
      </c>
      <c r="K36" s="38">
        <f t="shared" si="16"/>
        <v>2734.3982816276102</v>
      </c>
      <c r="L36" s="38">
        <f t="shared" si="16"/>
        <v>2698.721020633935</v>
      </c>
      <c r="M36" s="38">
        <f t="shared" si="16"/>
        <v>2859.4125821166099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6.5" outlineLevel="1" thickBot="1" x14ac:dyDescent="0.3">
      <c r="A37" s="43" t="s">
        <v>108</v>
      </c>
      <c r="B37" s="43"/>
      <c r="C37" s="44"/>
      <c r="D37" s="43">
        <f t="shared" ref="D37:M37" si="17">D34-D36</f>
        <v>2067</v>
      </c>
      <c r="E37" s="43">
        <f t="shared" si="17"/>
        <v>-5872</v>
      </c>
      <c r="F37" s="43">
        <f t="shared" si="17"/>
        <v>1215</v>
      </c>
      <c r="G37" s="43">
        <f t="shared" si="17"/>
        <v>869</v>
      </c>
      <c r="H37" s="43">
        <f t="shared" si="17"/>
        <v>-9292</v>
      </c>
      <c r="I37" s="43">
        <f t="shared" si="17"/>
        <v>6911.4063932198051</v>
      </c>
      <c r="J37" s="43">
        <f t="shared" si="17"/>
        <v>8225.9020750104683</v>
      </c>
      <c r="K37" s="43">
        <f t="shared" si="17"/>
        <v>8203.1948448828298</v>
      </c>
      <c r="L37" s="43">
        <f t="shared" si="17"/>
        <v>8096.1630619018051</v>
      </c>
      <c r="M37" s="43">
        <f t="shared" si="17"/>
        <v>8578.2377463498306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6.5" thickTop="1" x14ac:dyDescent="0.25">
      <c r="A38" s="21"/>
      <c r="B38" s="21"/>
      <c r="C38" s="22"/>
      <c r="D38" s="24"/>
      <c r="E38" s="24"/>
      <c r="F38" s="24"/>
      <c r="G38" s="24"/>
      <c r="H38" s="24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x14ac:dyDescent="0.25">
      <c r="A39" s="21"/>
      <c r="B39" s="21"/>
      <c r="C39" s="22"/>
      <c r="D39" s="24"/>
      <c r="E39" s="24"/>
      <c r="F39" s="24"/>
      <c r="G39" s="24"/>
      <c r="H39" s="24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1" outlineLevel="1" x14ac:dyDescent="0.25">
      <c r="A40" s="23" t="s">
        <v>109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outlineLevel="1" x14ac:dyDescent="0.25">
      <c r="A41" s="21"/>
      <c r="B41" s="21"/>
      <c r="C41" s="22"/>
      <c r="D41" s="24"/>
      <c r="E41" s="24"/>
      <c r="F41" s="24"/>
      <c r="G41" s="24"/>
      <c r="H41" s="24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outlineLevel="1" x14ac:dyDescent="0.25">
      <c r="A42" s="25" t="s">
        <v>110</v>
      </c>
      <c r="B42" s="21"/>
      <c r="C42" s="22"/>
      <c r="D42" s="24"/>
      <c r="E42" s="24"/>
      <c r="F42" s="24"/>
      <c r="G42" s="24"/>
      <c r="H42" s="24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outlineLevel="1" x14ac:dyDescent="0.25">
      <c r="A43" s="21" t="s">
        <v>111</v>
      </c>
      <c r="B43" s="21"/>
      <c r="C43" s="45"/>
      <c r="D43" s="24">
        <f>IFERROR('Data Sheet'!G69,0)</f>
        <v>560</v>
      </c>
      <c r="E43" s="24">
        <f>IFERROR('Data Sheet'!H69,0)</f>
        <v>1573</v>
      </c>
      <c r="F43" s="24">
        <f>IFERROR('Data Sheet'!I69,0)</f>
        <v>1343</v>
      </c>
      <c r="G43" s="24">
        <f>IFERROR('Data Sheet'!J69,0)</f>
        <v>1526</v>
      </c>
      <c r="H43" s="24">
        <f>IFERROR('Data Sheet'!K69,0)</f>
        <v>1584</v>
      </c>
      <c r="I43" s="21">
        <f t="shared" ref="I43:M43" si="18">I81</f>
        <v>12444.961636773947</v>
      </c>
      <c r="J43" s="21">
        <f t="shared" si="18"/>
        <v>20220.88429626677</v>
      </c>
      <c r="K43" s="21">
        <f t="shared" si="18"/>
        <v>28247.540526411893</v>
      </c>
      <c r="L43" s="21">
        <f t="shared" si="18"/>
        <v>34318.171809977299</v>
      </c>
      <c r="M43" s="21">
        <f t="shared" si="18"/>
        <v>46089.757794657904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outlineLevel="1" x14ac:dyDescent="0.25">
      <c r="A44" s="21" t="s">
        <v>112</v>
      </c>
      <c r="B44" s="21"/>
      <c r="C44" s="45"/>
      <c r="D44" s="24">
        <f>IFERROR('Data Sheet'!G67,0)</f>
        <v>366</v>
      </c>
      <c r="E44" s="24">
        <f>IFERROR('Data Sheet'!H67,0)</f>
        <v>565</v>
      </c>
      <c r="F44" s="24">
        <f>IFERROR('Data Sheet'!I67,0)</f>
        <v>674</v>
      </c>
      <c r="G44" s="24">
        <f>IFERROR('Data Sheet'!J67,0)</f>
        <v>1018</v>
      </c>
      <c r="H44" s="24">
        <f>IFERROR('Data Sheet'!K67,0)</f>
        <v>1068</v>
      </c>
      <c r="I44" s="46">
        <f>I25*I14/I20</f>
        <v>1113.0529315068493</v>
      </c>
      <c r="J44" s="46">
        <f t="shared" ref="J44:M44" si="19">J25*J14/J20</f>
        <v>1268.8803419178084</v>
      </c>
      <c r="K44" s="46">
        <f t="shared" si="19"/>
        <v>1433.8347863671233</v>
      </c>
      <c r="L44" s="46">
        <f t="shared" si="19"/>
        <v>1648.910004322192</v>
      </c>
      <c r="M44" s="46">
        <f t="shared" si="19"/>
        <v>1896.2465049705204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outlineLevel="1" x14ac:dyDescent="0.25">
      <c r="A45" s="21" t="s">
        <v>34</v>
      </c>
      <c r="B45" s="21"/>
      <c r="C45" s="45"/>
      <c r="D45" s="24">
        <f>IFERROR('Data Sheet'!G68,0)</f>
        <v>8408</v>
      </c>
      <c r="E45" s="24">
        <f>IFERROR('Data Sheet'!H68,0)</f>
        <v>13609</v>
      </c>
      <c r="F45" s="24">
        <f>IFERROR('Data Sheet'!I68,0)</f>
        <v>16584</v>
      </c>
      <c r="G45" s="24">
        <f>IFERROR('Data Sheet'!J68,0)</f>
        <v>19051</v>
      </c>
      <c r="H45" s="24">
        <f>IFERROR('Data Sheet'!K68,0)</f>
        <v>28184</v>
      </c>
      <c r="I45" s="21">
        <f>I26*I15/I20</f>
        <v>24041.943320547947</v>
      </c>
      <c r="J45" s="21">
        <f t="shared" ref="J45:M45" si="20">J26*J15/J20</f>
        <v>25715.974929534252</v>
      </c>
      <c r="K45" s="21">
        <f t="shared" si="20"/>
        <v>27825.953754097973</v>
      </c>
      <c r="L45" s="21">
        <f t="shared" si="20"/>
        <v>30933.551681084318</v>
      </c>
      <c r="M45" s="21">
        <f t="shared" si="20"/>
        <v>29549.84136912394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outlineLevel="1" x14ac:dyDescent="0.25">
      <c r="A46" s="21" t="s">
        <v>113</v>
      </c>
      <c r="B46" s="21"/>
      <c r="C46" s="22"/>
      <c r="D46" s="24">
        <f>IFERROR('Data Sheet'!G62,0)</f>
        <v>2523</v>
      </c>
      <c r="E46" s="24">
        <f>IFERROR('Data Sheet'!H62,0)</f>
        <v>2544</v>
      </c>
      <c r="F46" s="24">
        <f>IFERROR('Data Sheet'!I62,0)</f>
        <v>2998</v>
      </c>
      <c r="G46" s="24">
        <f>IFERROR('Data Sheet'!J62,0)</f>
        <v>3709</v>
      </c>
      <c r="H46" s="24">
        <f>IFERROR('Data Sheet'!K62,0)</f>
        <v>4062</v>
      </c>
      <c r="I46" s="21">
        <f t="shared" ref="I46:M46" si="21">I98</f>
        <v>2901.5802085006508</v>
      </c>
      <c r="J46" s="21">
        <f t="shared" si="21"/>
        <v>2498.2190431963731</v>
      </c>
      <c r="K46" s="21">
        <f t="shared" si="21"/>
        <v>2246.0452864114536</v>
      </c>
      <c r="L46" s="21">
        <f t="shared" si="21"/>
        <v>2000.8607080711147</v>
      </c>
      <c r="M46" s="21">
        <f t="shared" si="21"/>
        <v>1719.8997648744148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6.5" outlineLevel="1" thickBot="1" x14ac:dyDescent="0.3">
      <c r="A47" s="43" t="s">
        <v>114</v>
      </c>
      <c r="B47" s="43"/>
      <c r="C47" s="44"/>
      <c r="D47" s="43">
        <f t="shared" ref="D47:M47" si="22">SUM(D43:D46)</f>
        <v>11857</v>
      </c>
      <c r="E47" s="43">
        <f t="shared" si="22"/>
        <v>18291</v>
      </c>
      <c r="F47" s="43">
        <f t="shared" si="22"/>
        <v>21599</v>
      </c>
      <c r="G47" s="43">
        <f t="shared" si="22"/>
        <v>25304</v>
      </c>
      <c r="H47" s="43">
        <f t="shared" si="22"/>
        <v>34898</v>
      </c>
      <c r="I47" s="43">
        <f t="shared" si="22"/>
        <v>40501.538097329394</v>
      </c>
      <c r="J47" s="43">
        <f t="shared" si="22"/>
        <v>49703.958610915208</v>
      </c>
      <c r="K47" s="43">
        <f t="shared" si="22"/>
        <v>59753.374353288447</v>
      </c>
      <c r="L47" s="43">
        <f t="shared" si="22"/>
        <v>68901.494203454917</v>
      </c>
      <c r="M47" s="43">
        <f t="shared" si="22"/>
        <v>79255.745433626769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6.5" outlineLevel="1" thickTop="1" x14ac:dyDescent="0.25">
      <c r="A48" s="25"/>
      <c r="B48" s="25"/>
      <c r="C48" s="36"/>
      <c r="D48" s="37"/>
      <c r="E48" s="37"/>
      <c r="F48" s="37"/>
      <c r="G48" s="37"/>
      <c r="H48" s="37"/>
      <c r="I48" s="25"/>
      <c r="J48" s="25"/>
      <c r="K48" s="25"/>
      <c r="L48" s="25"/>
      <c r="M48" s="25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outlineLevel="1" x14ac:dyDescent="0.25">
      <c r="A49" s="25" t="s">
        <v>115</v>
      </c>
      <c r="B49" s="21"/>
      <c r="C49" s="45"/>
      <c r="D49" s="24"/>
      <c r="E49" s="24"/>
      <c r="F49" s="24"/>
      <c r="G49" s="24"/>
      <c r="H49" s="24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outlineLevel="1" x14ac:dyDescent="0.25">
      <c r="A50" s="21" t="s">
        <v>116</v>
      </c>
      <c r="B50" s="21"/>
      <c r="C50" s="45"/>
      <c r="D50" s="24">
        <f>IFERROR('Data Sheet'!G60,0)</f>
        <v>3309</v>
      </c>
      <c r="E50" s="24">
        <f>IFERROR('Data Sheet'!H60,0)</f>
        <v>4610</v>
      </c>
      <c r="F50" s="24">
        <f>IFERROR('Data Sheet'!I60,0)</f>
        <v>5802</v>
      </c>
      <c r="G50" s="24">
        <f>IFERROR('Data Sheet'!J60,0)</f>
        <v>6626</v>
      </c>
      <c r="H50" s="24">
        <f>IFERROR('Data Sheet'!K60,0)</f>
        <v>8244</v>
      </c>
      <c r="I50" s="21">
        <f>I26*I16/I20</f>
        <v>6975.1317041095899</v>
      </c>
      <c r="J50" s="21">
        <f t="shared" ref="J50:M50" si="23">J26*J16/J20</f>
        <v>7951.6501426849336</v>
      </c>
      <c r="K50" s="21">
        <f t="shared" si="23"/>
        <v>9797.8710401753415</v>
      </c>
      <c r="L50" s="21">
        <f t="shared" si="23"/>
        <v>10849.827828440022</v>
      </c>
      <c r="M50" s="21">
        <f t="shared" si="23"/>
        <v>12625.841312262048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outlineLevel="1" x14ac:dyDescent="0.25">
      <c r="A51" s="21" t="s">
        <v>117</v>
      </c>
      <c r="B51" s="21"/>
      <c r="C51" s="22"/>
      <c r="D51" s="24">
        <f>IFERROR('Data Sheet'!G59,0)</f>
        <v>5638</v>
      </c>
      <c r="E51" s="24">
        <f>IFERROR('Data Sheet'!H59,0)</f>
        <v>7275</v>
      </c>
      <c r="F51" s="24">
        <f>IFERROR('Data Sheet'!I59,0)</f>
        <v>9367</v>
      </c>
      <c r="G51" s="24">
        <f>IFERROR('Data Sheet'!J59,0)</f>
        <v>15528</v>
      </c>
      <c r="H51" s="24">
        <f>IFERROR('Data Sheet'!K59,0)</f>
        <v>20777</v>
      </c>
      <c r="I51" s="21">
        <f t="shared" ref="I51:M51" si="24">I103</f>
        <v>1000</v>
      </c>
      <c r="J51" s="21">
        <f t="shared" si="24"/>
        <v>1000</v>
      </c>
      <c r="K51" s="21">
        <f t="shared" si="24"/>
        <v>1000</v>
      </c>
      <c r="L51" s="21">
        <f t="shared" si="24"/>
        <v>1000</v>
      </c>
      <c r="M51" s="21">
        <f t="shared" si="24"/>
        <v>1000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outlineLevel="1" x14ac:dyDescent="0.25">
      <c r="A52" s="27" t="s">
        <v>118</v>
      </c>
      <c r="B52" s="27"/>
      <c r="C52" s="28"/>
      <c r="D52" s="27">
        <f t="shared" ref="D52:M52" si="25">SUM(D50:D51)</f>
        <v>8947</v>
      </c>
      <c r="E52" s="27">
        <f t="shared" si="25"/>
        <v>11885</v>
      </c>
      <c r="F52" s="27">
        <f t="shared" si="25"/>
        <v>15169</v>
      </c>
      <c r="G52" s="27">
        <f t="shared" si="25"/>
        <v>22154</v>
      </c>
      <c r="H52" s="27">
        <f t="shared" si="25"/>
        <v>29021</v>
      </c>
      <c r="I52" s="27">
        <f t="shared" si="25"/>
        <v>7975.1317041095899</v>
      </c>
      <c r="J52" s="27">
        <f t="shared" si="25"/>
        <v>8951.6501426849336</v>
      </c>
      <c r="K52" s="27">
        <f t="shared" si="25"/>
        <v>10797.871040175341</v>
      </c>
      <c r="L52" s="27">
        <f t="shared" si="25"/>
        <v>11849.827828440022</v>
      </c>
      <c r="M52" s="27">
        <f t="shared" si="25"/>
        <v>13625.841312262048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outlineLevel="1" x14ac:dyDescent="0.25">
      <c r="A53" s="25" t="s">
        <v>119</v>
      </c>
      <c r="B53" s="21"/>
      <c r="C53" s="22"/>
      <c r="D53" s="24"/>
      <c r="E53" s="24"/>
      <c r="F53" s="24"/>
      <c r="G53" s="24"/>
      <c r="H53" s="24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outlineLevel="1" x14ac:dyDescent="0.25">
      <c r="A54" s="21" t="s">
        <v>120</v>
      </c>
      <c r="B54" s="21"/>
      <c r="C54" s="22"/>
      <c r="D54" s="24">
        <f>IFERROR('Data Sheet'!G57,0)</f>
        <v>89</v>
      </c>
      <c r="E54" s="24">
        <f>IFERROR('Data Sheet'!H57,0)</f>
        <v>89</v>
      </c>
      <c r="F54" s="24">
        <f>IFERROR('Data Sheet'!I57,0)</f>
        <v>89</v>
      </c>
      <c r="G54" s="24">
        <f>IFERROR('Data Sheet'!J57,0)</f>
        <v>89</v>
      </c>
      <c r="H54" s="24">
        <f>IFERROR('Data Sheet'!K57,0)</f>
        <v>89</v>
      </c>
      <c r="I54" s="21">
        <f>21540-7975+515</f>
        <v>14080</v>
      </c>
      <c r="J54" s="21">
        <f t="shared" ref="J54:M54" si="26">I54+J76</f>
        <v>14080</v>
      </c>
      <c r="K54" s="21">
        <f t="shared" si="26"/>
        <v>14080</v>
      </c>
      <c r="L54" s="21">
        <f t="shared" si="26"/>
        <v>14080</v>
      </c>
      <c r="M54" s="21">
        <f t="shared" si="26"/>
        <v>14080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outlineLevel="1" x14ac:dyDescent="0.25">
      <c r="A55" s="21" t="s">
        <v>121</v>
      </c>
      <c r="B55" s="21"/>
      <c r="C55" s="22"/>
      <c r="D55" s="24">
        <f>IFERROR('Data Sheet'!G58,0)</f>
        <v>7408</v>
      </c>
      <c r="E55" s="24">
        <f>IFERROR('Data Sheet'!H58,0)</f>
        <v>9214</v>
      </c>
      <c r="F55" s="24">
        <f>IFERROR('Data Sheet'!I58,0)</f>
        <v>11762</v>
      </c>
      <c r="G55" s="24">
        <f>IFERROR('Data Sheet'!J58,0)</f>
        <v>9304</v>
      </c>
      <c r="H55" s="24">
        <f>IFERROR('Data Sheet'!K58,0)</f>
        <v>11535</v>
      </c>
      <c r="I55" s="21">
        <f t="shared" ref="I55:M55" si="27">H55+I37</f>
        <v>18446.406393219804</v>
      </c>
      <c r="J55" s="21">
        <f t="shared" si="27"/>
        <v>26672.308468230272</v>
      </c>
      <c r="K55" s="21">
        <f t="shared" si="27"/>
        <v>34875.503313113106</v>
      </c>
      <c r="L55" s="21">
        <f t="shared" si="27"/>
        <v>42971.666375014909</v>
      </c>
      <c r="M55" s="21">
        <f t="shared" si="27"/>
        <v>51549.904121364743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outlineLevel="1" x14ac:dyDescent="0.25">
      <c r="A56" s="47" t="s">
        <v>119</v>
      </c>
      <c r="B56" s="47"/>
      <c r="C56" s="48"/>
      <c r="D56" s="47">
        <f>SUM(D54:D55)</f>
        <v>7497</v>
      </c>
      <c r="E56" s="47">
        <f t="shared" ref="D56:M56" si="28">SUM(E54:E55)</f>
        <v>9303</v>
      </c>
      <c r="F56" s="47">
        <f t="shared" si="28"/>
        <v>11851</v>
      </c>
      <c r="G56" s="47">
        <f t="shared" si="28"/>
        <v>9393</v>
      </c>
      <c r="H56" s="47">
        <f t="shared" si="28"/>
        <v>11624</v>
      </c>
      <c r="I56" s="47">
        <f t="shared" si="28"/>
        <v>32526.406393219804</v>
      </c>
      <c r="J56" s="47">
        <f t="shared" si="28"/>
        <v>40752.308468230272</v>
      </c>
      <c r="K56" s="47">
        <f t="shared" si="28"/>
        <v>48955.503313113106</v>
      </c>
      <c r="L56" s="47">
        <f t="shared" si="28"/>
        <v>57051.666375014909</v>
      </c>
      <c r="M56" s="47">
        <f t="shared" si="28"/>
        <v>65629.904121364743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6.5" outlineLevel="1" thickBot="1" x14ac:dyDescent="0.3">
      <c r="A57" s="43" t="s">
        <v>122</v>
      </c>
      <c r="B57" s="43"/>
      <c r="C57" s="44"/>
      <c r="D57" s="43">
        <f>D52+D56</f>
        <v>16444</v>
      </c>
      <c r="E57" s="43">
        <f t="shared" ref="E57:M57" si="29">E52+E56</f>
        <v>21188</v>
      </c>
      <c r="F57" s="43">
        <f t="shared" si="29"/>
        <v>27020</v>
      </c>
      <c r="G57" s="43">
        <f t="shared" si="29"/>
        <v>31547</v>
      </c>
      <c r="H57" s="43">
        <f t="shared" si="29"/>
        <v>40645</v>
      </c>
      <c r="I57" s="43">
        <f t="shared" si="29"/>
        <v>40501.538097329394</v>
      </c>
      <c r="J57" s="43">
        <f t="shared" si="29"/>
        <v>49703.958610915208</v>
      </c>
      <c r="K57" s="43">
        <f t="shared" si="29"/>
        <v>59753.374353288447</v>
      </c>
      <c r="L57" s="43">
        <f t="shared" si="29"/>
        <v>68901.494203454931</v>
      </c>
      <c r="M57" s="43">
        <f t="shared" si="29"/>
        <v>79255.745433626784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6.5" outlineLevel="1" thickTop="1" x14ac:dyDescent="0.25">
      <c r="A58" s="21"/>
      <c r="B58" s="21"/>
      <c r="C58" s="22"/>
      <c r="D58" s="24"/>
      <c r="E58" s="24"/>
      <c r="F58" s="24"/>
      <c r="G58" s="24"/>
      <c r="H58" s="24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outlineLevel="1" x14ac:dyDescent="0.25">
      <c r="A59" s="33" t="s">
        <v>123</v>
      </c>
      <c r="B59" s="49"/>
      <c r="C59" s="50"/>
      <c r="D59" s="58">
        <f>D57-D47</f>
        <v>4587</v>
      </c>
      <c r="E59" s="58">
        <f t="shared" ref="E59:M59" si="30">E57-E47</f>
        <v>2897</v>
      </c>
      <c r="F59" s="58">
        <f t="shared" si="30"/>
        <v>5421</v>
      </c>
      <c r="G59" s="58">
        <f t="shared" si="30"/>
        <v>6243</v>
      </c>
      <c r="H59" s="58">
        <f>H57-H47</f>
        <v>5747</v>
      </c>
      <c r="I59" s="58">
        <f t="shared" si="30"/>
        <v>0</v>
      </c>
      <c r="J59" s="58">
        <f t="shared" si="30"/>
        <v>0</v>
      </c>
      <c r="K59" s="58">
        <f t="shared" si="30"/>
        <v>0</v>
      </c>
      <c r="L59" s="58">
        <f t="shared" si="30"/>
        <v>0</v>
      </c>
      <c r="M59" s="58">
        <f t="shared" si="30"/>
        <v>0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x14ac:dyDescent="0.25">
      <c r="A60" s="49"/>
      <c r="B60" s="21"/>
      <c r="C60" s="22"/>
      <c r="D60" s="24"/>
      <c r="E60" s="24"/>
      <c r="F60" s="24"/>
      <c r="G60" s="24"/>
      <c r="H60" s="24"/>
      <c r="I60" s="49"/>
      <c r="J60" s="49"/>
      <c r="K60" s="49"/>
      <c r="L60" s="49"/>
      <c r="M60" s="49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x14ac:dyDescent="0.25">
      <c r="A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1" outlineLevel="1" x14ac:dyDescent="0.25">
      <c r="A62" s="23" t="s">
        <v>124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outlineLevel="1" x14ac:dyDescent="0.25">
      <c r="A63" s="25"/>
      <c r="B63" s="21"/>
      <c r="C63" s="22"/>
      <c r="D63" s="37"/>
      <c r="E63" s="24"/>
      <c r="F63" s="24"/>
      <c r="G63" s="24"/>
      <c r="H63" s="24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outlineLevel="1" x14ac:dyDescent="0.25">
      <c r="A64" s="25" t="s">
        <v>125</v>
      </c>
      <c r="B64" s="21"/>
      <c r="C64" s="22"/>
      <c r="D64" s="24"/>
      <c r="E64" s="24"/>
      <c r="F64" s="24"/>
      <c r="G64" s="24"/>
      <c r="H64" s="24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outlineLevel="1" x14ac:dyDescent="0.25">
      <c r="A65" s="21" t="s">
        <v>108</v>
      </c>
      <c r="B65" s="21"/>
      <c r="C65" s="22"/>
      <c r="D65" s="24">
        <f>IFERROR('Data Sheet'!G82,0)</f>
        <v>4139</v>
      </c>
      <c r="E65" s="24">
        <f>IFERROR('Data Sheet'!H82,0)</f>
        <v>-724</v>
      </c>
      <c r="F65" s="24">
        <f>IFERROR('Data Sheet'!I82,0)</f>
        <v>1370</v>
      </c>
      <c r="G65" s="24">
        <f>IFERROR('Data Sheet'!J82,0)</f>
        <v>1695</v>
      </c>
      <c r="H65" s="24">
        <f>IFERROR('Data Sheet'!K82,0)</f>
        <v>-541</v>
      </c>
      <c r="I65" s="21">
        <f t="shared" ref="I65:M65" si="31">I37</f>
        <v>6911.4063932198051</v>
      </c>
      <c r="J65" s="21">
        <f t="shared" si="31"/>
        <v>8225.9020750104683</v>
      </c>
      <c r="K65" s="21">
        <f t="shared" si="31"/>
        <v>8203.1948448828298</v>
      </c>
      <c r="L65" s="21">
        <f t="shared" si="31"/>
        <v>8096.1630619018051</v>
      </c>
      <c r="M65" s="21">
        <f t="shared" si="31"/>
        <v>8578.2377463498306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outlineLevel="1" x14ac:dyDescent="0.25">
      <c r="A66" s="21" t="s">
        <v>126</v>
      </c>
      <c r="B66" s="21"/>
      <c r="C66" s="22"/>
      <c r="D66" s="24">
        <f>IFERROR('Data Sheet'!G83,0)</f>
        <v>-2799</v>
      </c>
      <c r="E66" s="24">
        <f>IFERROR('Data Sheet'!H83,0)</f>
        <v>1165</v>
      </c>
      <c r="F66" s="24">
        <f>IFERROR('Data Sheet'!I83,0)</f>
        <v>-1814</v>
      </c>
      <c r="G66" s="24">
        <f>IFERROR('Data Sheet'!J83,0)</f>
        <v>-189</v>
      </c>
      <c r="H66" s="24">
        <f>IFERROR('Data Sheet'!K83,0)</f>
        <v>546</v>
      </c>
      <c r="I66" s="21">
        <f>I97</f>
        <v>534.41979149934923</v>
      </c>
      <c r="J66" s="21">
        <f t="shared" ref="J66:M66" si="32">J97</f>
        <v>457.36116530427751</v>
      </c>
      <c r="K66" s="21">
        <f t="shared" si="32"/>
        <v>394.17375678491948</v>
      </c>
      <c r="L66" s="21">
        <f t="shared" si="32"/>
        <v>359.18457834033893</v>
      </c>
      <c r="M66" s="21">
        <f t="shared" si="32"/>
        <v>320.96094319669993</v>
      </c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outlineLevel="1" x14ac:dyDescent="0.25">
      <c r="A67" s="21" t="s">
        <v>127</v>
      </c>
      <c r="B67" s="21"/>
      <c r="C67" s="22"/>
      <c r="D67" s="24">
        <f>IFERROR('Data Sheet'!G85,0)</f>
        <v>106</v>
      </c>
      <c r="E67" s="24">
        <f>IFERROR('Data Sheet'!H85,0)</f>
        <v>38</v>
      </c>
      <c r="F67" s="24">
        <f>IFERROR('Data Sheet'!I85,0)</f>
        <v>13</v>
      </c>
      <c r="G67" s="24">
        <f>IFERROR('Data Sheet'!J85,0)</f>
        <v>177</v>
      </c>
      <c r="H67" s="24">
        <f>IFERROR('Data Sheet'!K85,0)</f>
        <v>-2</v>
      </c>
      <c r="I67" s="21">
        <f>I92</f>
        <v>-2828.1354520547939</v>
      </c>
      <c r="J67" s="21">
        <f t="shared" ref="J67:M67" si="33">J92</f>
        <v>853.34058082192132</v>
      </c>
      <c r="K67" s="21">
        <f t="shared" si="33"/>
        <v>428.7123715226262</v>
      </c>
      <c r="L67" s="21">
        <f t="shared" si="33"/>
        <v>2270.716356676734</v>
      </c>
      <c r="M67" s="21">
        <f t="shared" si="33"/>
        <v>-2912.3872951340745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outlineLevel="1" x14ac:dyDescent="0.25">
      <c r="A68" s="27" t="s">
        <v>128</v>
      </c>
      <c r="B68" s="26"/>
      <c r="C68" s="51"/>
      <c r="D68" s="27">
        <f t="shared" ref="D68:M68" si="34">D65+D66-D67</f>
        <v>1234</v>
      </c>
      <c r="E68" s="27">
        <f t="shared" si="34"/>
        <v>403</v>
      </c>
      <c r="F68" s="27">
        <f t="shared" si="34"/>
        <v>-457</v>
      </c>
      <c r="G68" s="27">
        <f t="shared" si="34"/>
        <v>1329</v>
      </c>
      <c r="H68" s="27">
        <f t="shared" si="34"/>
        <v>7</v>
      </c>
      <c r="I68" s="27">
        <f t="shared" si="34"/>
        <v>10273.961636773947</v>
      </c>
      <c r="J68" s="27">
        <f t="shared" si="34"/>
        <v>7829.9226594928241</v>
      </c>
      <c r="K68" s="27">
        <f t="shared" si="34"/>
        <v>8168.6562301451231</v>
      </c>
      <c r="L68" s="27">
        <f t="shared" si="34"/>
        <v>6184.6312835654098</v>
      </c>
      <c r="M68" s="27">
        <f t="shared" si="34"/>
        <v>11811.585984680605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outlineLevel="1" x14ac:dyDescent="0.25">
      <c r="A69" s="25"/>
      <c r="B69" s="21"/>
      <c r="C69" s="22"/>
      <c r="D69" s="37"/>
      <c r="E69" s="37"/>
      <c r="F69" s="37"/>
      <c r="G69" s="37"/>
      <c r="H69" s="37"/>
      <c r="I69" s="25"/>
      <c r="J69" s="25"/>
      <c r="K69" s="25"/>
      <c r="L69" s="25"/>
      <c r="M69" s="25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outlineLevel="1" x14ac:dyDescent="0.25">
      <c r="A70" s="25" t="s">
        <v>129</v>
      </c>
      <c r="B70" s="21"/>
      <c r="C70" s="22"/>
      <c r="D70" s="24"/>
      <c r="E70" s="24"/>
      <c r="F70" s="24"/>
      <c r="G70" s="24"/>
      <c r="H70" s="24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outlineLevel="1" x14ac:dyDescent="0.25">
      <c r="A71" s="21" t="s">
        <v>130</v>
      </c>
      <c r="B71" s="21"/>
      <c r="C71" s="22"/>
      <c r="D71" s="24">
        <f>IFERROR('Data Sheet'!G85,0)</f>
        <v>106</v>
      </c>
      <c r="E71" s="24">
        <f>IFERROR('Data Sheet'!H85,0)</f>
        <v>38</v>
      </c>
      <c r="F71" s="24">
        <f>IFERROR('Data Sheet'!I85,0)</f>
        <v>13</v>
      </c>
      <c r="G71" s="24">
        <f>IFERROR('Data Sheet'!J85,0)</f>
        <v>177</v>
      </c>
      <c r="H71" s="24">
        <f>IFERROR('Data Sheet'!K85,0)</f>
        <v>-2</v>
      </c>
      <c r="I71" s="21">
        <f t="shared" ref="I71:M71" si="35">I96</f>
        <v>13</v>
      </c>
      <c r="J71" s="21">
        <f t="shared" si="35"/>
        <v>54</v>
      </c>
      <c r="K71" s="21">
        <f t="shared" si="35"/>
        <v>142</v>
      </c>
      <c r="L71" s="21">
        <f t="shared" si="35"/>
        <v>114</v>
      </c>
      <c r="M71" s="21">
        <f t="shared" si="35"/>
        <v>40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outlineLevel="1" x14ac:dyDescent="0.25">
      <c r="A72" s="27" t="s">
        <v>131</v>
      </c>
      <c r="B72" s="26"/>
      <c r="C72" s="51"/>
      <c r="D72" s="27">
        <f t="shared" ref="D72:M72" si="36">SUM(D71)</f>
        <v>106</v>
      </c>
      <c r="E72" s="27">
        <f t="shared" si="36"/>
        <v>38</v>
      </c>
      <c r="F72" s="27">
        <f t="shared" si="36"/>
        <v>13</v>
      </c>
      <c r="G72" s="27">
        <f t="shared" si="36"/>
        <v>177</v>
      </c>
      <c r="H72" s="27">
        <f t="shared" si="36"/>
        <v>-2</v>
      </c>
      <c r="I72" s="27">
        <f t="shared" si="36"/>
        <v>13</v>
      </c>
      <c r="J72" s="27">
        <f t="shared" si="36"/>
        <v>54</v>
      </c>
      <c r="K72" s="27">
        <f t="shared" si="36"/>
        <v>142</v>
      </c>
      <c r="L72" s="27">
        <f t="shared" si="36"/>
        <v>114</v>
      </c>
      <c r="M72" s="27">
        <f t="shared" si="36"/>
        <v>40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outlineLevel="1" x14ac:dyDescent="0.25">
      <c r="A73" s="25"/>
      <c r="B73" s="21"/>
      <c r="C73" s="22"/>
      <c r="D73" s="37"/>
      <c r="E73" s="37"/>
      <c r="F73" s="37"/>
      <c r="G73" s="37"/>
      <c r="H73" s="37"/>
      <c r="I73" s="25"/>
      <c r="J73" s="25"/>
      <c r="K73" s="25"/>
      <c r="L73" s="25"/>
      <c r="M73" s="25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outlineLevel="1" x14ac:dyDescent="0.25">
      <c r="A74" s="25" t="s">
        <v>132</v>
      </c>
      <c r="B74" s="21"/>
      <c r="C74" s="22"/>
      <c r="D74" s="24"/>
      <c r="E74" s="24"/>
      <c r="F74" s="24"/>
      <c r="G74" s="24"/>
      <c r="H74" s="24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outlineLevel="1" x14ac:dyDescent="0.25">
      <c r="A75" s="21" t="s">
        <v>133</v>
      </c>
      <c r="B75" s="21"/>
      <c r="C75" s="22"/>
      <c r="D75" s="24">
        <v>0</v>
      </c>
      <c r="E75" s="24">
        <v>0</v>
      </c>
      <c r="F75" s="24"/>
      <c r="G75" s="24">
        <v>0</v>
      </c>
      <c r="H75" s="24">
        <v>0</v>
      </c>
      <c r="I75" s="21">
        <f t="shared" ref="I75:M75" si="37">I102</f>
        <v>0</v>
      </c>
      <c r="J75" s="21">
        <f t="shared" si="37"/>
        <v>0</v>
      </c>
      <c r="K75" s="21">
        <f t="shared" si="37"/>
        <v>0</v>
      </c>
      <c r="L75" s="21">
        <f t="shared" si="37"/>
        <v>0</v>
      </c>
      <c r="M75" s="21">
        <f t="shared" si="37"/>
        <v>0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outlineLevel="1" x14ac:dyDescent="0.25">
      <c r="A76" s="21" t="s">
        <v>134</v>
      </c>
      <c r="B76" s="21"/>
      <c r="C76" s="22"/>
      <c r="D76" s="24"/>
      <c r="E76" s="24">
        <v>0</v>
      </c>
      <c r="F76" s="24">
        <v>0</v>
      </c>
      <c r="G76" s="24">
        <v>0</v>
      </c>
      <c r="H76" s="24">
        <v>0</v>
      </c>
      <c r="I76" s="21">
        <f t="shared" ref="I76:M76" si="38">I19</f>
        <v>0</v>
      </c>
      <c r="J76" s="21">
        <f t="shared" si="38"/>
        <v>0</v>
      </c>
      <c r="K76" s="21">
        <f t="shared" si="38"/>
        <v>0</v>
      </c>
      <c r="L76" s="21">
        <f t="shared" si="38"/>
        <v>0</v>
      </c>
      <c r="M76" s="21">
        <f t="shared" si="38"/>
        <v>0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outlineLevel="1" x14ac:dyDescent="0.25">
      <c r="A77" s="27" t="s">
        <v>135</v>
      </c>
      <c r="B77" s="26"/>
      <c r="C77" s="51"/>
      <c r="D77" s="27">
        <f t="shared" ref="D77:M77" si="39">SUM(D75:D76)</f>
        <v>0</v>
      </c>
      <c r="E77" s="27">
        <f t="shared" si="39"/>
        <v>0</v>
      </c>
      <c r="F77" s="27">
        <f t="shared" si="39"/>
        <v>0</v>
      </c>
      <c r="G77" s="27">
        <f t="shared" si="39"/>
        <v>0</v>
      </c>
      <c r="H77" s="27">
        <f t="shared" si="39"/>
        <v>0</v>
      </c>
      <c r="I77" s="27">
        <f t="shared" si="39"/>
        <v>0</v>
      </c>
      <c r="J77" s="27">
        <f t="shared" si="39"/>
        <v>0</v>
      </c>
      <c r="K77" s="27">
        <f t="shared" si="39"/>
        <v>0</v>
      </c>
      <c r="L77" s="27">
        <f t="shared" si="39"/>
        <v>0</v>
      </c>
      <c r="M77" s="27">
        <f t="shared" si="39"/>
        <v>0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outlineLevel="1" x14ac:dyDescent="0.25">
      <c r="A78" s="25"/>
      <c r="B78" s="21"/>
      <c r="C78" s="22"/>
      <c r="D78" s="37"/>
      <c r="E78" s="37"/>
      <c r="F78" s="37"/>
      <c r="G78" s="37"/>
      <c r="H78" s="37"/>
      <c r="I78" s="25"/>
      <c r="J78" s="25"/>
      <c r="K78" s="25"/>
      <c r="L78" s="25"/>
      <c r="M78" s="25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outlineLevel="1" x14ac:dyDescent="0.25">
      <c r="A79" s="21" t="s">
        <v>136</v>
      </c>
      <c r="B79" s="21"/>
      <c r="C79" s="22"/>
      <c r="D79" s="21">
        <f t="shared" ref="D79:M79" si="40">D68-D72+D77</f>
        <v>1128</v>
      </c>
      <c r="E79" s="21">
        <f t="shared" si="40"/>
        <v>365</v>
      </c>
      <c r="F79" s="21">
        <f t="shared" si="40"/>
        <v>-470</v>
      </c>
      <c r="G79" s="21">
        <f t="shared" si="40"/>
        <v>1152</v>
      </c>
      <c r="H79" s="21">
        <f t="shared" si="40"/>
        <v>9</v>
      </c>
      <c r="I79" s="21">
        <f>I68-I72+I77</f>
        <v>10260.961636773947</v>
      </c>
      <c r="J79" s="21">
        <f t="shared" si="40"/>
        <v>7775.9226594928241</v>
      </c>
      <c r="K79" s="21">
        <f t="shared" si="40"/>
        <v>8026.6562301451231</v>
      </c>
      <c r="L79" s="21">
        <f t="shared" si="40"/>
        <v>6070.6312835654098</v>
      </c>
      <c r="M79" s="21">
        <f t="shared" si="40"/>
        <v>11771.585984680605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outlineLevel="1" x14ac:dyDescent="0.25">
      <c r="A80" s="21" t="s">
        <v>137</v>
      </c>
      <c r="B80" s="21"/>
      <c r="C80" s="22"/>
      <c r="D80" s="24">
        <v>0</v>
      </c>
      <c r="E80" s="21">
        <f t="shared" ref="E80:M80" si="41">D81</f>
        <v>1128</v>
      </c>
      <c r="F80" s="21">
        <f t="shared" si="41"/>
        <v>1493</v>
      </c>
      <c r="G80" s="21">
        <f t="shared" si="41"/>
        <v>1023</v>
      </c>
      <c r="H80" s="21">
        <f t="shared" si="41"/>
        <v>2175</v>
      </c>
      <c r="I80" s="21">
        <f t="shared" si="41"/>
        <v>2184</v>
      </c>
      <c r="J80" s="21">
        <f t="shared" si="41"/>
        <v>12444.961636773947</v>
      </c>
      <c r="K80" s="21">
        <f t="shared" si="41"/>
        <v>20220.88429626677</v>
      </c>
      <c r="L80" s="21">
        <f t="shared" si="41"/>
        <v>28247.540526411893</v>
      </c>
      <c r="M80" s="21">
        <f t="shared" si="41"/>
        <v>34318.171809977299</v>
      </c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outlineLevel="1" x14ac:dyDescent="0.25">
      <c r="A81" s="27" t="s">
        <v>138</v>
      </c>
      <c r="B81" s="26"/>
      <c r="C81" s="51"/>
      <c r="D81" s="27">
        <f t="shared" ref="D81:M81" si="42">SUM(D79:D80)</f>
        <v>1128</v>
      </c>
      <c r="E81" s="27">
        <f t="shared" si="42"/>
        <v>1493</v>
      </c>
      <c r="F81" s="27">
        <f t="shared" si="42"/>
        <v>1023</v>
      </c>
      <c r="G81" s="27">
        <f t="shared" si="42"/>
        <v>2175</v>
      </c>
      <c r="H81" s="27">
        <f t="shared" si="42"/>
        <v>2184</v>
      </c>
      <c r="I81" s="27">
        <f t="shared" si="42"/>
        <v>12444.961636773947</v>
      </c>
      <c r="J81" s="27">
        <f t="shared" si="42"/>
        <v>20220.88429626677</v>
      </c>
      <c r="K81" s="27">
        <f t="shared" si="42"/>
        <v>28247.540526411893</v>
      </c>
      <c r="L81" s="27">
        <f t="shared" si="42"/>
        <v>34318.171809977299</v>
      </c>
      <c r="M81" s="27">
        <f t="shared" si="42"/>
        <v>46089.757794657904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outlineLevel="1" x14ac:dyDescent="0.25">
      <c r="A82" s="25"/>
      <c r="B82" s="21"/>
      <c r="C82" s="22"/>
      <c r="D82" s="37"/>
      <c r="E82" s="37"/>
      <c r="F82" s="37"/>
      <c r="G82" s="37"/>
      <c r="H82" s="37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x14ac:dyDescent="0.25">
      <c r="A83" s="25"/>
      <c r="B83" s="21"/>
      <c r="C83" s="22"/>
      <c r="D83" s="24"/>
      <c r="E83" s="24"/>
      <c r="F83" s="24"/>
      <c r="G83" s="24"/>
      <c r="H83" s="24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x14ac:dyDescent="0.25">
      <c r="A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1" outlineLevel="1" x14ac:dyDescent="0.25">
      <c r="A85" s="23" t="s">
        <v>139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outlineLevel="1" x14ac:dyDescent="0.25">
      <c r="A86" s="21"/>
      <c r="B86" s="21"/>
      <c r="C86" s="22"/>
      <c r="D86" s="24"/>
      <c r="E86" s="24"/>
      <c r="F86" s="24"/>
      <c r="G86" s="24"/>
      <c r="H86" s="24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outlineLevel="1" x14ac:dyDescent="0.25">
      <c r="A87" s="25" t="s">
        <v>140</v>
      </c>
      <c r="B87" s="21"/>
      <c r="C87" s="22"/>
      <c r="D87" s="24"/>
      <c r="E87" s="24"/>
      <c r="F87" s="24"/>
      <c r="G87" s="24"/>
      <c r="H87" s="24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outlineLevel="1" x14ac:dyDescent="0.25">
      <c r="A88" s="21" t="s">
        <v>112</v>
      </c>
      <c r="B88" s="21"/>
      <c r="C88" s="22"/>
      <c r="D88" s="21">
        <f t="shared" ref="D88:H89" si="43">D44</f>
        <v>366</v>
      </c>
      <c r="E88" s="21">
        <f t="shared" si="43"/>
        <v>565</v>
      </c>
      <c r="F88" s="21">
        <f t="shared" si="43"/>
        <v>674</v>
      </c>
      <c r="G88" s="21">
        <f t="shared" si="43"/>
        <v>1018</v>
      </c>
      <c r="H88" s="21">
        <f t="shared" si="43"/>
        <v>1068</v>
      </c>
      <c r="I88" s="21">
        <f t="shared" ref="I88:M89" si="44">I44</f>
        <v>1113.0529315068493</v>
      </c>
      <c r="J88" s="21">
        <f t="shared" si="44"/>
        <v>1268.8803419178084</v>
      </c>
      <c r="K88" s="21">
        <f t="shared" si="44"/>
        <v>1433.8347863671233</v>
      </c>
      <c r="L88" s="21">
        <f t="shared" si="44"/>
        <v>1648.910004322192</v>
      </c>
      <c r="M88" s="21">
        <f t="shared" si="44"/>
        <v>1896.2465049705204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outlineLevel="1" x14ac:dyDescent="0.25">
      <c r="A89" s="21" t="s">
        <v>34</v>
      </c>
      <c r="B89" s="21"/>
      <c r="C89" s="22"/>
      <c r="D89" s="21">
        <f t="shared" si="43"/>
        <v>8408</v>
      </c>
      <c r="E89" s="21">
        <f t="shared" si="43"/>
        <v>13609</v>
      </c>
      <c r="F89" s="21">
        <f t="shared" si="43"/>
        <v>16584</v>
      </c>
      <c r="G89" s="21">
        <f t="shared" si="43"/>
        <v>19051</v>
      </c>
      <c r="H89" s="21">
        <f t="shared" si="43"/>
        <v>28184</v>
      </c>
      <c r="I89" s="21">
        <f t="shared" si="44"/>
        <v>24041.943320547947</v>
      </c>
      <c r="J89" s="21">
        <f t="shared" si="44"/>
        <v>25715.974929534252</v>
      </c>
      <c r="K89" s="21">
        <f t="shared" si="44"/>
        <v>27825.953754097973</v>
      </c>
      <c r="L89" s="21">
        <f t="shared" si="44"/>
        <v>30933.551681084318</v>
      </c>
      <c r="M89" s="21">
        <f t="shared" si="44"/>
        <v>29549.84136912394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outlineLevel="1" x14ac:dyDescent="0.25">
      <c r="A90" s="21" t="s">
        <v>116</v>
      </c>
      <c r="B90" s="21"/>
      <c r="C90" s="22"/>
      <c r="D90" s="21">
        <f>D50</f>
        <v>3309</v>
      </c>
      <c r="E90" s="21">
        <f>E50</f>
        <v>4610</v>
      </c>
      <c r="F90" s="21">
        <f>F50</f>
        <v>5802</v>
      </c>
      <c r="G90" s="21">
        <f>G50</f>
        <v>6626</v>
      </c>
      <c r="H90" s="21">
        <f>H50</f>
        <v>8244</v>
      </c>
      <c r="I90" s="21">
        <f t="shared" ref="I90:M90" si="45">I50</f>
        <v>6975.1317041095899</v>
      </c>
      <c r="J90" s="21">
        <f t="shared" si="45"/>
        <v>7951.6501426849336</v>
      </c>
      <c r="K90" s="21">
        <f t="shared" si="45"/>
        <v>9797.8710401753415</v>
      </c>
      <c r="L90" s="21">
        <f t="shared" si="45"/>
        <v>10849.827828440022</v>
      </c>
      <c r="M90" s="21">
        <f t="shared" si="45"/>
        <v>12625.841312262048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outlineLevel="1" x14ac:dyDescent="0.25">
      <c r="A91" s="26" t="s">
        <v>141</v>
      </c>
      <c r="B91" s="26"/>
      <c r="C91" s="51"/>
      <c r="D91" s="26">
        <f t="shared" ref="D91:M91" si="46">D88+D89-D90</f>
        <v>5465</v>
      </c>
      <c r="E91" s="26">
        <f t="shared" si="46"/>
        <v>9564</v>
      </c>
      <c r="F91" s="26">
        <f t="shared" si="46"/>
        <v>11456</v>
      </c>
      <c r="G91" s="26">
        <f t="shared" si="46"/>
        <v>13443</v>
      </c>
      <c r="H91" s="26">
        <f t="shared" si="46"/>
        <v>21008</v>
      </c>
      <c r="I91" s="26">
        <f t="shared" si="46"/>
        <v>18179.864547945206</v>
      </c>
      <c r="J91" s="26">
        <f t="shared" si="46"/>
        <v>19033.205128767127</v>
      </c>
      <c r="K91" s="26">
        <f t="shared" si="46"/>
        <v>19461.917500289754</v>
      </c>
      <c r="L91" s="26">
        <f t="shared" si="46"/>
        <v>21732.633856966488</v>
      </c>
      <c r="M91" s="26">
        <f t="shared" si="46"/>
        <v>18820.246561832413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outlineLevel="1" x14ac:dyDescent="0.25">
      <c r="A92" s="21" t="s">
        <v>142</v>
      </c>
      <c r="B92" s="21"/>
      <c r="C92" s="22"/>
      <c r="D92" s="21">
        <f>D91-C91</f>
        <v>5465</v>
      </c>
      <c r="E92" s="21">
        <f t="shared" ref="E92:M92" si="47">E91-D91</f>
        <v>4099</v>
      </c>
      <c r="F92" s="21">
        <f t="shared" si="47"/>
        <v>1892</v>
      </c>
      <c r="G92" s="21">
        <f t="shared" si="47"/>
        <v>1987</v>
      </c>
      <c r="H92" s="21">
        <f t="shared" si="47"/>
        <v>7565</v>
      </c>
      <c r="I92" s="21">
        <f t="shared" si="47"/>
        <v>-2828.1354520547939</v>
      </c>
      <c r="J92" s="21">
        <f t="shared" si="47"/>
        <v>853.34058082192132</v>
      </c>
      <c r="K92" s="21">
        <f t="shared" si="47"/>
        <v>428.7123715226262</v>
      </c>
      <c r="L92" s="21">
        <f t="shared" si="47"/>
        <v>2270.716356676734</v>
      </c>
      <c r="M92" s="21">
        <f t="shared" si="47"/>
        <v>-2912.3872951340745</v>
      </c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outlineLevel="1" x14ac:dyDescent="0.25">
      <c r="A93" s="21"/>
      <c r="B93" s="21"/>
      <c r="C93" s="22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outlineLevel="1" x14ac:dyDescent="0.25">
      <c r="A94" s="25" t="s">
        <v>143</v>
      </c>
      <c r="B94" s="21"/>
      <c r="C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outlineLevel="1" x14ac:dyDescent="0.25">
      <c r="A95" s="21" t="s">
        <v>144</v>
      </c>
      <c r="B95" s="21"/>
      <c r="C95" s="22"/>
      <c r="D95" s="24"/>
      <c r="E95" s="21">
        <f t="shared" ref="E95:M95" si="48">D98</f>
        <v>2905</v>
      </c>
      <c r="F95" s="21">
        <f t="shared" si="48"/>
        <v>1778</v>
      </c>
      <c r="G95" s="21">
        <f t="shared" si="48"/>
        <v>3605</v>
      </c>
      <c r="H95" s="21">
        <f t="shared" si="48"/>
        <v>3971</v>
      </c>
      <c r="I95" s="21">
        <f t="shared" si="48"/>
        <v>3423</v>
      </c>
      <c r="J95" s="21">
        <f t="shared" si="48"/>
        <v>2901.5802085006508</v>
      </c>
      <c r="K95" s="21">
        <f t="shared" si="48"/>
        <v>2498.2190431963731</v>
      </c>
      <c r="L95" s="21">
        <f t="shared" si="48"/>
        <v>2246.0452864114536</v>
      </c>
      <c r="M95" s="21">
        <f t="shared" si="48"/>
        <v>2000.8607080711147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outlineLevel="1" x14ac:dyDescent="0.25">
      <c r="A96" s="21" t="s">
        <v>145</v>
      </c>
      <c r="B96" s="21"/>
      <c r="C96" s="22"/>
      <c r="D96" s="21">
        <f>D71</f>
        <v>106</v>
      </c>
      <c r="E96" s="21">
        <f>E71</f>
        <v>38</v>
      </c>
      <c r="F96" s="21">
        <f>F71</f>
        <v>13</v>
      </c>
      <c r="G96" s="21">
        <f>G71</f>
        <v>177</v>
      </c>
      <c r="H96" s="21">
        <f>H71</f>
        <v>-2</v>
      </c>
      <c r="I96" s="21">
        <f t="shared" ref="I96:M96" si="49">I17</f>
        <v>13</v>
      </c>
      <c r="J96" s="21">
        <f t="shared" si="49"/>
        <v>54</v>
      </c>
      <c r="K96" s="21">
        <f t="shared" si="49"/>
        <v>142</v>
      </c>
      <c r="L96" s="21">
        <f t="shared" si="49"/>
        <v>114</v>
      </c>
      <c r="M96" s="21">
        <f t="shared" si="49"/>
        <v>40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outlineLevel="1" x14ac:dyDescent="0.25">
      <c r="A97" s="21" t="s">
        <v>146</v>
      </c>
      <c r="B97" s="21"/>
      <c r="C97" s="45"/>
      <c r="D97" s="21">
        <f>D66</f>
        <v>-2799</v>
      </c>
      <c r="E97" s="21">
        <f>E66</f>
        <v>1165</v>
      </c>
      <c r="F97" s="21">
        <f>F66</f>
        <v>-1814</v>
      </c>
      <c r="G97" s="21">
        <f>G66</f>
        <v>-189</v>
      </c>
      <c r="H97" s="21">
        <f>H66</f>
        <v>546</v>
      </c>
      <c r="I97" s="21">
        <f>I95*I11</f>
        <v>534.41979149934923</v>
      </c>
      <c r="J97" s="21">
        <f t="shared" ref="J97:M97" si="50">J95*J11</f>
        <v>457.36116530427751</v>
      </c>
      <c r="K97" s="21">
        <f t="shared" si="50"/>
        <v>394.17375678491948</v>
      </c>
      <c r="L97" s="21">
        <f t="shared" si="50"/>
        <v>359.18457834033893</v>
      </c>
      <c r="M97" s="21">
        <f t="shared" si="50"/>
        <v>320.96094319669993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outlineLevel="1" x14ac:dyDescent="0.25">
      <c r="A98" s="26" t="s">
        <v>147</v>
      </c>
      <c r="B98" s="26"/>
      <c r="C98" s="51"/>
      <c r="D98" s="26">
        <f t="shared" ref="D98:M98" si="51">D95+D96-D97</f>
        <v>2905</v>
      </c>
      <c r="E98" s="26">
        <f t="shared" si="51"/>
        <v>1778</v>
      </c>
      <c r="F98" s="26">
        <f t="shared" si="51"/>
        <v>3605</v>
      </c>
      <c r="G98" s="26">
        <f t="shared" si="51"/>
        <v>3971</v>
      </c>
      <c r="H98" s="26">
        <f t="shared" si="51"/>
        <v>3423</v>
      </c>
      <c r="I98" s="26">
        <f t="shared" si="51"/>
        <v>2901.5802085006508</v>
      </c>
      <c r="J98" s="26">
        <f t="shared" si="51"/>
        <v>2498.2190431963731</v>
      </c>
      <c r="K98" s="26">
        <f t="shared" si="51"/>
        <v>2246.0452864114536</v>
      </c>
      <c r="L98" s="26">
        <f t="shared" si="51"/>
        <v>2000.8607080711147</v>
      </c>
      <c r="M98" s="26">
        <f t="shared" si="51"/>
        <v>1719.8997648744148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outlineLevel="1" x14ac:dyDescent="0.25">
      <c r="A99" s="21"/>
      <c r="B99" s="21"/>
      <c r="C99" s="22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outlineLevel="1" x14ac:dyDescent="0.25">
      <c r="A100" s="25" t="s">
        <v>148</v>
      </c>
      <c r="B100" s="21"/>
      <c r="C100" s="22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outlineLevel="1" x14ac:dyDescent="0.25">
      <c r="A101" s="21" t="s">
        <v>149</v>
      </c>
      <c r="B101" s="21"/>
      <c r="C101" s="22"/>
      <c r="D101" s="24"/>
      <c r="E101" s="21">
        <f t="shared" ref="E101:M101" si="52">D103</f>
        <v>0</v>
      </c>
      <c r="F101" s="21">
        <f t="shared" si="52"/>
        <v>0</v>
      </c>
      <c r="G101" s="21">
        <f t="shared" si="52"/>
        <v>0</v>
      </c>
      <c r="H101" s="21">
        <f t="shared" si="52"/>
        <v>0</v>
      </c>
      <c r="I101" s="21">
        <v>1000</v>
      </c>
      <c r="J101" s="21">
        <f t="shared" si="52"/>
        <v>1000</v>
      </c>
      <c r="K101" s="21">
        <f t="shared" si="52"/>
        <v>1000</v>
      </c>
      <c r="L101" s="21">
        <f t="shared" si="52"/>
        <v>1000</v>
      </c>
      <c r="M101" s="21">
        <f t="shared" si="52"/>
        <v>1000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outlineLevel="1" x14ac:dyDescent="0.25">
      <c r="A102" s="21" t="s">
        <v>150</v>
      </c>
      <c r="B102" s="21"/>
      <c r="C102" s="22"/>
      <c r="D102" s="21">
        <f>D75</f>
        <v>0</v>
      </c>
      <c r="E102" s="21">
        <f>E75</f>
        <v>0</v>
      </c>
      <c r="F102" s="21">
        <f>F75</f>
        <v>0</v>
      </c>
      <c r="G102" s="21">
        <f>G75</f>
        <v>0</v>
      </c>
      <c r="H102" s="21">
        <f>H75</f>
        <v>0</v>
      </c>
      <c r="I102" s="21">
        <f t="shared" ref="I102:M102" si="53">I18</f>
        <v>0</v>
      </c>
      <c r="J102" s="21">
        <f t="shared" si="53"/>
        <v>0</v>
      </c>
      <c r="K102" s="21">
        <f t="shared" si="53"/>
        <v>0</v>
      </c>
      <c r="L102" s="21">
        <f t="shared" si="53"/>
        <v>0</v>
      </c>
      <c r="M102" s="21">
        <f t="shared" si="53"/>
        <v>0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outlineLevel="1" x14ac:dyDescent="0.25">
      <c r="A103" s="26" t="s">
        <v>151</v>
      </c>
      <c r="B103" s="26"/>
      <c r="C103" s="51"/>
      <c r="D103" s="26">
        <f t="shared" ref="D103:M103" si="54">D101+D102</f>
        <v>0</v>
      </c>
      <c r="E103" s="26">
        <f t="shared" si="54"/>
        <v>0</v>
      </c>
      <c r="F103" s="26">
        <f t="shared" si="54"/>
        <v>0</v>
      </c>
      <c r="G103" s="26">
        <f t="shared" si="54"/>
        <v>0</v>
      </c>
      <c r="H103" s="26">
        <f t="shared" si="54"/>
        <v>0</v>
      </c>
      <c r="I103" s="26">
        <v>1000</v>
      </c>
      <c r="J103" s="26">
        <f t="shared" si="54"/>
        <v>1000</v>
      </c>
      <c r="K103" s="26">
        <f t="shared" si="54"/>
        <v>1000</v>
      </c>
      <c r="L103" s="26">
        <f t="shared" si="54"/>
        <v>1000</v>
      </c>
      <c r="M103" s="26">
        <f t="shared" si="54"/>
        <v>1000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outlineLevel="1" x14ac:dyDescent="0.25">
      <c r="A104" s="21" t="s">
        <v>152</v>
      </c>
      <c r="B104" s="21"/>
      <c r="C104" s="45"/>
      <c r="D104" s="21">
        <f>D32</f>
        <v>203</v>
      </c>
      <c r="E104" s="21">
        <f>E32</f>
        <v>218</v>
      </c>
      <c r="F104" s="21">
        <f>F32</f>
        <v>300</v>
      </c>
      <c r="G104" s="21">
        <f>G32</f>
        <v>619</v>
      </c>
      <c r="H104" s="21">
        <f>H32</f>
        <v>953</v>
      </c>
      <c r="I104" s="21">
        <f>AVERAGE(I101,I103)*I12</f>
        <v>36.746028216185572</v>
      </c>
      <c r="J104" s="21">
        <f t="shared" ref="I104:M104" si="55">AVERAGE(J101,J103)*J12</f>
        <v>36.89409870511264</v>
      </c>
      <c r="K104" s="21">
        <f t="shared" si="55"/>
        <v>38.279791298368842</v>
      </c>
      <c r="L104" s="21">
        <f t="shared" si="55"/>
        <v>39.530283560391283</v>
      </c>
      <c r="M104" s="21">
        <f t="shared" si="55"/>
        <v>39.463645785091899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outlineLevel="1" x14ac:dyDescent="0.25">
      <c r="A105" s="21"/>
      <c r="B105" s="21"/>
      <c r="C105" s="22"/>
      <c r="D105" s="24"/>
      <c r="E105" s="24"/>
      <c r="F105" s="24"/>
      <c r="G105" s="24"/>
      <c r="H105" s="24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x14ac:dyDescent="0.25">
      <c r="A106" s="21"/>
      <c r="B106" s="21"/>
      <c r="C106" s="22"/>
      <c r="D106" s="24"/>
      <c r="E106" s="24"/>
      <c r="F106" s="24"/>
      <c r="G106" s="24"/>
      <c r="H106" s="24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x14ac:dyDescent="0.25">
      <c r="A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1" outlineLevel="1" x14ac:dyDescent="0.25">
      <c r="A108" s="23" t="s">
        <v>153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outlineLevel="1" x14ac:dyDescent="0.25">
      <c r="A109" s="21"/>
      <c r="B109" s="21"/>
      <c r="C109" s="2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outlineLevel="1" x14ac:dyDescent="0.25">
      <c r="A110" s="21" t="s">
        <v>99</v>
      </c>
      <c r="B110" s="21"/>
      <c r="C110" s="22"/>
      <c r="D110" s="21">
        <f>D25</f>
        <v>21644</v>
      </c>
      <c r="E110" s="21">
        <f>E25</f>
        <v>28799</v>
      </c>
      <c r="F110" s="21">
        <f>F25</f>
        <v>40575</v>
      </c>
      <c r="G110" s="21">
        <f>G25</f>
        <v>51084</v>
      </c>
      <c r="H110" s="21">
        <f>H25</f>
        <v>60456</v>
      </c>
      <c r="I110" s="21">
        <f t="shared" ref="I110:M110" si="56">I25</f>
        <v>67710.720000000001</v>
      </c>
      <c r="J110" s="21">
        <f t="shared" si="56"/>
        <v>77190.22080000001</v>
      </c>
      <c r="K110" s="21">
        <f t="shared" si="56"/>
        <v>87224.949504000004</v>
      </c>
      <c r="L110" s="21">
        <f t="shared" si="56"/>
        <v>100308.6919296</v>
      </c>
      <c r="M110" s="21">
        <f t="shared" si="56"/>
        <v>115354.99571903999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outlineLevel="1" x14ac:dyDescent="0.25">
      <c r="A111" s="21" t="s">
        <v>154</v>
      </c>
      <c r="B111" s="21"/>
      <c r="C111" s="22"/>
      <c r="D111" s="52">
        <f>D27/D25</f>
        <v>0.24468674921456293</v>
      </c>
      <c r="E111" s="52">
        <f>E27/E25</f>
        <v>-9.2364318205493248E-2</v>
      </c>
      <c r="F111" s="52">
        <f>F27/F25</f>
        <v>0.13476278496611213</v>
      </c>
      <c r="G111" s="52">
        <f>G27/G25</f>
        <v>0.1165335525800642</v>
      </c>
      <c r="H111" s="52">
        <f>H27/H25</f>
        <v>-5.0185258700542544E-2</v>
      </c>
      <c r="I111" s="52">
        <f t="shared" ref="I111:M111" si="57">I27/I25</f>
        <v>0.2</v>
      </c>
      <c r="J111" s="52">
        <f t="shared" si="57"/>
        <v>0.19999999999999996</v>
      </c>
      <c r="K111" s="52">
        <f t="shared" si="57"/>
        <v>0.18000000000000008</v>
      </c>
      <c r="L111" s="52">
        <f t="shared" si="57"/>
        <v>0.15999999999999998</v>
      </c>
      <c r="M111" s="52">
        <f t="shared" si="57"/>
        <v>0.14999999999999997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outlineLevel="1" x14ac:dyDescent="0.25">
      <c r="A112" s="21"/>
      <c r="B112" s="21"/>
      <c r="C112" s="2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outlineLevel="1" x14ac:dyDescent="0.25">
      <c r="A113" s="21" t="s">
        <v>125</v>
      </c>
      <c r="B113" s="21"/>
      <c r="C113" s="22"/>
      <c r="D113" s="21">
        <f>D68</f>
        <v>1234</v>
      </c>
      <c r="E113" s="21">
        <f>E68</f>
        <v>403</v>
      </c>
      <c r="F113" s="21">
        <f>F68</f>
        <v>-457</v>
      </c>
      <c r="G113" s="21">
        <f>G68</f>
        <v>1329</v>
      </c>
      <c r="H113" s="21">
        <f>H68</f>
        <v>7</v>
      </c>
      <c r="I113" s="21">
        <f t="shared" ref="I113:M113" si="58">I68</f>
        <v>10273.961636773947</v>
      </c>
      <c r="J113" s="21">
        <f t="shared" si="58"/>
        <v>7829.9226594928241</v>
      </c>
      <c r="K113" s="21">
        <f t="shared" si="58"/>
        <v>8168.6562301451231</v>
      </c>
      <c r="L113" s="21">
        <f t="shared" si="58"/>
        <v>6184.6312835654098</v>
      </c>
      <c r="M113" s="21">
        <f t="shared" si="58"/>
        <v>11811.585984680605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outlineLevel="1" x14ac:dyDescent="0.25">
      <c r="A114" s="21" t="s">
        <v>129</v>
      </c>
      <c r="B114" s="21"/>
      <c r="C114" s="22"/>
      <c r="D114" s="21">
        <f>-D72</f>
        <v>-106</v>
      </c>
      <c r="E114" s="21">
        <f>-E72</f>
        <v>-38</v>
      </c>
      <c r="F114" s="21">
        <f>-F72</f>
        <v>-13</v>
      </c>
      <c r="G114" s="21">
        <f>-G72</f>
        <v>-177</v>
      </c>
      <c r="H114" s="21">
        <f>-H72</f>
        <v>2</v>
      </c>
      <c r="I114" s="21">
        <f t="shared" ref="I114:M114" si="59">-I72</f>
        <v>-13</v>
      </c>
      <c r="J114" s="21">
        <f t="shared" si="59"/>
        <v>-54</v>
      </c>
      <c r="K114" s="21">
        <f t="shared" si="59"/>
        <v>-142</v>
      </c>
      <c r="L114" s="21">
        <f t="shared" si="59"/>
        <v>-114</v>
      </c>
      <c r="M114" s="21">
        <f t="shared" si="59"/>
        <v>-40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x14ac:dyDescent="0.25">
      <c r="A115" s="21" t="s">
        <v>132</v>
      </c>
      <c r="B115" s="21"/>
      <c r="C115" s="22"/>
      <c r="D115" s="21">
        <f>D77</f>
        <v>0</v>
      </c>
      <c r="E115" s="21">
        <f>E77</f>
        <v>0</v>
      </c>
      <c r="F115" s="21">
        <f>F77</f>
        <v>0</v>
      </c>
      <c r="G115" s="21">
        <f>G77</f>
        <v>0</v>
      </c>
      <c r="H115" s="21">
        <f>H77</f>
        <v>0</v>
      </c>
      <c r="I115" s="21">
        <f t="shared" ref="I115:M115" si="60">I77</f>
        <v>0</v>
      </c>
      <c r="J115" s="21">
        <f t="shared" si="60"/>
        <v>0</v>
      </c>
      <c r="K115" s="21">
        <f t="shared" si="60"/>
        <v>0</v>
      </c>
      <c r="L115" s="21">
        <f t="shared" si="60"/>
        <v>0</v>
      </c>
      <c r="M115" s="21">
        <f t="shared" si="60"/>
        <v>0</v>
      </c>
      <c r="N115" s="21"/>
      <c r="O115" s="21"/>
    </row>
    <row r="116" spans="1:26" ht="15.75" x14ac:dyDescent="0.25">
      <c r="B116" s="21"/>
      <c r="C116" s="22"/>
      <c r="D116" s="21"/>
      <c r="E116" s="21"/>
      <c r="F116" s="21"/>
      <c r="G116" s="21"/>
      <c r="H116" s="21"/>
      <c r="I116" s="24"/>
      <c r="J116" s="24"/>
      <c r="K116" s="24"/>
      <c r="L116" s="24"/>
      <c r="M116" s="24"/>
    </row>
  </sheetData>
  <mergeCells count="3">
    <mergeCell ref="D1:H1"/>
    <mergeCell ref="I1:M1"/>
    <mergeCell ref="A1:C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00BC-366F-4825-947C-2E3343E14337}">
  <sheetPr>
    <tabColor rgb="FF002060"/>
  </sheetPr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9C69-2587-4A6C-A218-7559605BD64F}">
  <dimension ref="A1:K93"/>
  <sheetViews>
    <sheetView zoomScale="120" zoomScaleNormal="120" zoomScalePageLayoutView="120" workbookViewId="0">
      <pane xSplit="1" ySplit="1" topLeftCell="C78" activePane="bottomRight" state="frozen"/>
      <selection activeCell="C4" sqref="C4"/>
      <selection pane="topRight" activeCell="C4" sqref="C4"/>
      <selection pane="bottomLeft" activeCell="C4" sqref="C4"/>
      <selection pane="bottomRight" activeCell="C27" sqref="C27"/>
    </sheetView>
  </sheetViews>
  <sheetFormatPr defaultColWidth="8.85546875" defaultRowHeight="15" x14ac:dyDescent="0.25"/>
  <cols>
    <col min="1" max="1" width="27.7109375" style="14" bestFit="1" customWidth="1"/>
    <col min="2" max="11" width="13.42578125" style="14" bestFit="1" customWidth="1"/>
    <col min="12" max="16384" width="8.85546875" style="14"/>
  </cols>
  <sheetData>
    <row r="1" spans="1:11" s="1" customFormat="1" x14ac:dyDescent="0.25">
      <c r="A1" s="1" t="s">
        <v>80</v>
      </c>
      <c r="B1" s="1" t="s">
        <v>79</v>
      </c>
      <c r="E1" s="56" t="str">
        <f>IF(B2&lt;&gt;B3, "A NEW VERSION OF THE WORKSHEET IS AVAILABLE", "")</f>
        <v/>
      </c>
      <c r="F1" s="56"/>
      <c r="G1" s="56"/>
      <c r="H1" s="56"/>
      <c r="I1" s="56"/>
      <c r="J1" s="56"/>
      <c r="K1" s="56"/>
    </row>
    <row r="2" spans="1:11" x14ac:dyDescent="0.25">
      <c r="A2" s="1" t="s">
        <v>78</v>
      </c>
      <c r="B2" s="14">
        <v>2.1</v>
      </c>
      <c r="E2" s="57" t="s">
        <v>77</v>
      </c>
      <c r="F2" s="57"/>
      <c r="G2" s="57"/>
      <c r="H2" s="57"/>
      <c r="I2" s="57"/>
      <c r="J2" s="57"/>
      <c r="K2" s="57"/>
    </row>
    <row r="3" spans="1:11" x14ac:dyDescent="0.25">
      <c r="A3" s="1" t="s">
        <v>76</v>
      </c>
      <c r="B3" s="14">
        <v>2.1</v>
      </c>
    </row>
    <row r="4" spans="1:11" x14ac:dyDescent="0.25">
      <c r="A4" s="1"/>
    </row>
    <row r="5" spans="1:11" x14ac:dyDescent="0.25">
      <c r="A5" s="1" t="s">
        <v>75</v>
      </c>
    </row>
    <row r="6" spans="1:11" x14ac:dyDescent="0.25">
      <c r="A6" s="14" t="s">
        <v>74</v>
      </c>
      <c r="B6" s="14">
        <f>IF(B9&gt;0, B9/B8, 0)</f>
        <v>88.734026930712005</v>
      </c>
    </row>
    <row r="7" spans="1:11" x14ac:dyDescent="0.25">
      <c r="A7" s="14" t="s">
        <v>73</v>
      </c>
      <c r="B7">
        <v>1</v>
      </c>
    </row>
    <row r="8" spans="1:11" x14ac:dyDescent="0.25">
      <c r="A8" s="14" t="s">
        <v>72</v>
      </c>
      <c r="B8">
        <v>4181.1000000000004</v>
      </c>
    </row>
    <row r="9" spans="1:11" x14ac:dyDescent="0.25">
      <c r="A9" s="14" t="s">
        <v>71</v>
      </c>
      <c r="B9">
        <v>371005.84</v>
      </c>
    </row>
    <row r="15" spans="1:11" x14ac:dyDescent="0.25">
      <c r="A15" s="1" t="s">
        <v>70</v>
      </c>
    </row>
    <row r="16" spans="1:11" s="19" customFormat="1" x14ac:dyDescent="0.25">
      <c r="A16" s="20" t="s">
        <v>53</v>
      </c>
      <c r="B16" s="7">
        <v>42460</v>
      </c>
      <c r="C16" s="7">
        <v>42825</v>
      </c>
      <c r="D16" s="7">
        <v>43190</v>
      </c>
      <c r="E16" s="7">
        <v>43555</v>
      </c>
      <c r="F16" s="7">
        <v>43921</v>
      </c>
      <c r="G16" s="7">
        <v>44286</v>
      </c>
      <c r="H16" s="7">
        <v>44651</v>
      </c>
      <c r="I16" s="7">
        <v>45016</v>
      </c>
      <c r="J16" s="7">
        <v>45382</v>
      </c>
      <c r="K16" s="7">
        <v>45747</v>
      </c>
    </row>
    <row r="17" spans="1:11" s="2" customFormat="1" x14ac:dyDescent="0.25">
      <c r="A17" s="2" t="s">
        <v>24</v>
      </c>
      <c r="B17">
        <v>11275.89</v>
      </c>
      <c r="C17">
        <v>13260.83</v>
      </c>
      <c r="D17">
        <v>16119.77</v>
      </c>
      <c r="E17">
        <v>19778.52</v>
      </c>
      <c r="F17">
        <v>21052</v>
      </c>
      <c r="G17">
        <v>21644</v>
      </c>
      <c r="H17">
        <v>28799</v>
      </c>
      <c r="I17">
        <v>40575</v>
      </c>
      <c r="J17">
        <v>51084</v>
      </c>
      <c r="K17">
        <v>60456</v>
      </c>
    </row>
    <row r="18" spans="1:11" s="2" customFormat="1" x14ac:dyDescent="0.25">
      <c r="A18" s="14" t="s">
        <v>69</v>
      </c>
      <c r="B18">
        <v>8372.17</v>
      </c>
      <c r="C18">
        <v>9821.14</v>
      </c>
      <c r="D18">
        <v>12664.83</v>
      </c>
      <c r="E18">
        <v>15170.66</v>
      </c>
      <c r="F18">
        <v>16033</v>
      </c>
      <c r="G18">
        <v>16292</v>
      </c>
      <c r="H18">
        <v>26436</v>
      </c>
      <c r="I18">
        <v>32589</v>
      </c>
      <c r="J18">
        <v>42103</v>
      </c>
      <c r="K18">
        <v>55271</v>
      </c>
    </row>
    <row r="19" spans="1:11" s="2" customFormat="1" x14ac:dyDescent="0.25">
      <c r="A19" s="14" t="s">
        <v>68</v>
      </c>
      <c r="B19">
        <v>191.43</v>
      </c>
      <c r="C19">
        <v>313.70999999999998</v>
      </c>
      <c r="D19">
        <v>978.61</v>
      </c>
      <c r="E19">
        <v>776.41</v>
      </c>
      <c r="F19">
        <v>878</v>
      </c>
      <c r="G19">
        <v>-122</v>
      </c>
      <c r="H19">
        <v>4795</v>
      </c>
      <c r="I19">
        <v>2234</v>
      </c>
      <c r="J19">
        <v>2671</v>
      </c>
      <c r="K19">
        <v>7815</v>
      </c>
    </row>
    <row r="20" spans="1:11" s="2" customFormat="1" x14ac:dyDescent="0.25">
      <c r="A20" s="14" t="s">
        <v>67</v>
      </c>
      <c r="B20">
        <v>41.2</v>
      </c>
      <c r="C20">
        <v>43.84</v>
      </c>
      <c r="D20">
        <v>45.32</v>
      </c>
      <c r="E20">
        <v>48.51</v>
      </c>
      <c r="F20">
        <v>52</v>
      </c>
      <c r="G20">
        <v>37</v>
      </c>
      <c r="H20">
        <v>45</v>
      </c>
      <c r="I20">
        <v>59</v>
      </c>
      <c r="J20">
        <v>71</v>
      </c>
      <c r="K20">
        <v>78</v>
      </c>
    </row>
    <row r="21" spans="1:11" s="2" customFormat="1" x14ac:dyDescent="0.25">
      <c r="A21" s="14" t="s">
        <v>66</v>
      </c>
      <c r="B21">
        <v>261.7</v>
      </c>
      <c r="C21">
        <v>160.41999999999999</v>
      </c>
      <c r="D21">
        <v>124.83</v>
      </c>
      <c r="E21">
        <v>193.28</v>
      </c>
      <c r="F21">
        <v>215</v>
      </c>
      <c r="G21">
        <v>141</v>
      </c>
      <c r="H21">
        <v>183</v>
      </c>
      <c r="I21">
        <v>225</v>
      </c>
      <c r="J21">
        <v>286</v>
      </c>
      <c r="K21">
        <v>326</v>
      </c>
    </row>
    <row r="22" spans="1:11" s="2" customFormat="1" x14ac:dyDescent="0.25">
      <c r="A22" s="14" t="s">
        <v>65</v>
      </c>
      <c r="B22">
        <v>699.69</v>
      </c>
      <c r="C22">
        <v>894.32</v>
      </c>
      <c r="D22">
        <v>906.26</v>
      </c>
      <c r="E22">
        <v>1024.44</v>
      </c>
      <c r="F22">
        <v>1204</v>
      </c>
      <c r="G22">
        <v>1069</v>
      </c>
      <c r="H22">
        <v>1356</v>
      </c>
      <c r="I22">
        <v>1656</v>
      </c>
      <c r="J22">
        <v>1875</v>
      </c>
      <c r="K22">
        <v>2164</v>
      </c>
    </row>
    <row r="23" spans="1:11" s="2" customFormat="1" x14ac:dyDescent="0.25">
      <c r="A23" s="14" t="s">
        <v>64</v>
      </c>
      <c r="B23">
        <v>846.43</v>
      </c>
      <c r="C23">
        <v>1211.1600000000001</v>
      </c>
      <c r="D23">
        <v>1277.81</v>
      </c>
      <c r="E23">
        <v>1454.32</v>
      </c>
      <c r="F23">
        <v>1470</v>
      </c>
      <c r="G23">
        <v>1029</v>
      </c>
      <c r="H23">
        <v>1697</v>
      </c>
      <c r="I23">
        <v>2715</v>
      </c>
      <c r="J23">
        <v>3249</v>
      </c>
      <c r="K23">
        <v>3488</v>
      </c>
    </row>
    <row r="24" spans="1:11" s="2" customFormat="1" x14ac:dyDescent="0.25">
      <c r="A24" s="14" t="s">
        <v>63</v>
      </c>
      <c r="B24">
        <v>306.8</v>
      </c>
      <c r="C24">
        <v>279.76</v>
      </c>
      <c r="D24">
        <v>435.13</v>
      </c>
      <c r="E24">
        <v>669.93</v>
      </c>
      <c r="F24">
        <v>493</v>
      </c>
      <c r="G24">
        <v>1229</v>
      </c>
      <c r="H24">
        <v>533</v>
      </c>
      <c r="I24">
        <v>683</v>
      </c>
      <c r="J24">
        <v>879</v>
      </c>
      <c r="K24">
        <v>1250</v>
      </c>
    </row>
    <row r="25" spans="1:11" s="2" customFormat="1" x14ac:dyDescent="0.25">
      <c r="A25" s="2" t="s">
        <v>21</v>
      </c>
      <c r="B25">
        <v>69.33</v>
      </c>
      <c r="C25">
        <v>-42.38</v>
      </c>
      <c r="D25">
        <v>69.930000000000007</v>
      </c>
      <c r="E25">
        <v>178.48</v>
      </c>
      <c r="F25">
        <v>153</v>
      </c>
      <c r="G25">
        <v>180</v>
      </c>
      <c r="H25">
        <v>177</v>
      </c>
      <c r="I25">
        <v>306</v>
      </c>
      <c r="J25">
        <v>534</v>
      </c>
      <c r="K25">
        <v>487</v>
      </c>
    </row>
    <row r="26" spans="1:11" s="2" customFormat="1" x14ac:dyDescent="0.25">
      <c r="A26" s="2" t="s">
        <v>20</v>
      </c>
      <c r="B26">
        <v>98.19</v>
      </c>
      <c r="C26">
        <v>110.53</v>
      </c>
      <c r="D26">
        <v>131.43</v>
      </c>
      <c r="E26">
        <v>162.84</v>
      </c>
      <c r="F26">
        <v>348</v>
      </c>
      <c r="G26">
        <v>375</v>
      </c>
      <c r="H26">
        <v>399</v>
      </c>
      <c r="I26">
        <v>441</v>
      </c>
      <c r="J26">
        <v>584</v>
      </c>
      <c r="K26">
        <v>693</v>
      </c>
    </row>
    <row r="27" spans="1:11" s="2" customFormat="1" x14ac:dyDescent="0.25">
      <c r="A27" s="2" t="s">
        <v>19</v>
      </c>
      <c r="B27">
        <v>42.36</v>
      </c>
      <c r="C27">
        <v>37.74</v>
      </c>
      <c r="D27">
        <v>52.92</v>
      </c>
      <c r="E27">
        <v>52.54</v>
      </c>
      <c r="F27">
        <v>166</v>
      </c>
      <c r="G27">
        <v>203</v>
      </c>
      <c r="H27">
        <v>218</v>
      </c>
      <c r="I27">
        <v>300</v>
      </c>
      <c r="J27">
        <v>619</v>
      </c>
      <c r="K27">
        <v>953</v>
      </c>
    </row>
    <row r="28" spans="1:11" s="2" customFormat="1" x14ac:dyDescent="0.25">
      <c r="A28" s="2" t="s">
        <v>18</v>
      </c>
      <c r="B28">
        <v>868.11</v>
      </c>
      <c r="C28">
        <v>973.25</v>
      </c>
      <c r="D28">
        <v>1529.78</v>
      </c>
      <c r="E28">
        <v>1956.89</v>
      </c>
      <c r="F28">
        <v>2102</v>
      </c>
      <c r="G28">
        <v>1327</v>
      </c>
      <c r="H28">
        <v>2904</v>
      </c>
      <c r="I28">
        <v>4447</v>
      </c>
      <c r="J28">
        <v>4623</v>
      </c>
      <c r="K28">
        <v>4535</v>
      </c>
    </row>
    <row r="29" spans="1:11" s="2" customFormat="1" x14ac:dyDescent="0.25">
      <c r="A29" s="2" t="s">
        <v>17</v>
      </c>
      <c r="B29">
        <v>191.59</v>
      </c>
      <c r="C29">
        <v>275.97000000000003</v>
      </c>
      <c r="D29">
        <v>427.87</v>
      </c>
      <c r="E29">
        <v>568.24</v>
      </c>
      <c r="F29">
        <v>609</v>
      </c>
      <c r="G29">
        <v>353</v>
      </c>
      <c r="H29">
        <v>706</v>
      </c>
      <c r="I29">
        <v>1173</v>
      </c>
      <c r="J29">
        <v>1127</v>
      </c>
      <c r="K29">
        <v>1198</v>
      </c>
    </row>
    <row r="30" spans="1:11" s="2" customFormat="1" x14ac:dyDescent="0.25">
      <c r="A30" s="2" t="s">
        <v>16</v>
      </c>
      <c r="B30">
        <v>674.52</v>
      </c>
      <c r="C30">
        <v>711.47</v>
      </c>
      <c r="D30">
        <v>1130.0899999999999</v>
      </c>
      <c r="E30">
        <v>1404.15</v>
      </c>
      <c r="F30">
        <v>1501</v>
      </c>
      <c r="G30">
        <v>973</v>
      </c>
      <c r="H30">
        <v>2173</v>
      </c>
      <c r="I30">
        <v>3250</v>
      </c>
      <c r="J30">
        <v>3496</v>
      </c>
      <c r="K30">
        <v>3337</v>
      </c>
    </row>
    <row r="31" spans="1:11" s="2" customFormat="1" x14ac:dyDescent="0.25">
      <c r="A31" s="2" t="s">
        <v>62</v>
      </c>
      <c r="B31">
        <v>195.32</v>
      </c>
      <c r="C31">
        <v>230.83</v>
      </c>
      <c r="D31">
        <v>332.92</v>
      </c>
      <c r="E31">
        <v>443.9</v>
      </c>
      <c r="F31">
        <v>356</v>
      </c>
      <c r="G31">
        <v>356</v>
      </c>
      <c r="H31">
        <v>667.5</v>
      </c>
      <c r="I31">
        <v>890</v>
      </c>
      <c r="J31">
        <v>979</v>
      </c>
      <c r="K31">
        <v>979</v>
      </c>
    </row>
    <row r="32" spans="1:11" s="2" customFormat="1" x14ac:dyDescent="0.25"/>
    <row r="33" spans="1:11" x14ac:dyDescent="0.25">
      <c r="A33" s="2"/>
    </row>
    <row r="34" spans="1:11" x14ac:dyDescent="0.25">
      <c r="A34" s="2"/>
    </row>
    <row r="35" spans="1:11" x14ac:dyDescent="0.25">
      <c r="A35" s="2"/>
    </row>
    <row r="36" spans="1:11" x14ac:dyDescent="0.25">
      <c r="A36" s="2"/>
    </row>
    <row r="37" spans="1:11" x14ac:dyDescent="0.25">
      <c r="A37" s="2"/>
    </row>
    <row r="38" spans="1:11" x14ac:dyDescent="0.25">
      <c r="A38" s="2"/>
    </row>
    <row r="39" spans="1:11" x14ac:dyDescent="0.25">
      <c r="A39" s="2"/>
    </row>
    <row r="40" spans="1:11" x14ac:dyDescent="0.25">
      <c r="A40" s="1" t="s">
        <v>61</v>
      </c>
    </row>
    <row r="41" spans="1:11" s="19" customFormat="1" x14ac:dyDescent="0.25">
      <c r="A41" s="20" t="s">
        <v>53</v>
      </c>
      <c r="B41" s="7">
        <v>45199</v>
      </c>
      <c r="C41" s="7">
        <v>45291</v>
      </c>
      <c r="D41" s="7">
        <v>45382</v>
      </c>
      <c r="E41" s="7">
        <v>45473</v>
      </c>
      <c r="F41" s="7">
        <v>45565</v>
      </c>
      <c r="G41" s="7">
        <v>45657</v>
      </c>
      <c r="H41" s="7">
        <v>45747</v>
      </c>
      <c r="I41" s="7">
        <v>45838</v>
      </c>
      <c r="J41" s="7">
        <v>45930</v>
      </c>
      <c r="K41" s="7">
        <v>46022</v>
      </c>
    </row>
    <row r="42" spans="1:11" s="2" customFormat="1" x14ac:dyDescent="0.25">
      <c r="A42" s="2" t="s">
        <v>24</v>
      </c>
      <c r="B42">
        <v>12529</v>
      </c>
      <c r="C42">
        <v>14164</v>
      </c>
      <c r="D42">
        <v>12494</v>
      </c>
      <c r="E42">
        <v>13266</v>
      </c>
      <c r="F42">
        <v>14534</v>
      </c>
      <c r="G42">
        <v>17740</v>
      </c>
      <c r="H42">
        <v>14916</v>
      </c>
      <c r="I42">
        <v>16523</v>
      </c>
      <c r="J42">
        <v>18725</v>
      </c>
      <c r="K42">
        <v>25416</v>
      </c>
    </row>
    <row r="43" spans="1:11" s="2" customFormat="1" x14ac:dyDescent="0.25">
      <c r="A43" s="2" t="s">
        <v>23</v>
      </c>
      <c r="B43">
        <v>11118</v>
      </c>
      <c r="C43">
        <v>12599</v>
      </c>
      <c r="D43">
        <v>11303</v>
      </c>
      <c r="E43">
        <v>12019</v>
      </c>
      <c r="F43">
        <v>13298</v>
      </c>
      <c r="G43">
        <v>16066</v>
      </c>
      <c r="H43">
        <v>13379</v>
      </c>
      <c r="I43">
        <v>14693</v>
      </c>
      <c r="J43">
        <v>16850</v>
      </c>
      <c r="K43">
        <v>22703</v>
      </c>
    </row>
    <row r="44" spans="1:11" s="2" customFormat="1" x14ac:dyDescent="0.25">
      <c r="A44" s="2" t="s">
        <v>21</v>
      </c>
      <c r="B44">
        <v>125</v>
      </c>
      <c r="C44">
        <v>136</v>
      </c>
      <c r="D44">
        <v>159</v>
      </c>
      <c r="E44">
        <v>120</v>
      </c>
      <c r="F44">
        <v>123</v>
      </c>
      <c r="G44">
        <v>128</v>
      </c>
      <c r="H44">
        <v>116</v>
      </c>
      <c r="I44">
        <v>105</v>
      </c>
      <c r="J44">
        <v>113</v>
      </c>
      <c r="K44">
        <v>-1</v>
      </c>
    </row>
    <row r="45" spans="1:11" s="2" customFormat="1" x14ac:dyDescent="0.25">
      <c r="A45" s="2" t="s">
        <v>20</v>
      </c>
      <c r="B45">
        <v>144</v>
      </c>
      <c r="C45">
        <v>154</v>
      </c>
      <c r="D45">
        <v>158</v>
      </c>
      <c r="E45">
        <v>164</v>
      </c>
      <c r="F45">
        <v>171</v>
      </c>
      <c r="G45">
        <v>175</v>
      </c>
      <c r="H45">
        <v>183</v>
      </c>
      <c r="I45">
        <v>184</v>
      </c>
      <c r="J45">
        <v>189</v>
      </c>
      <c r="K45">
        <v>207</v>
      </c>
    </row>
    <row r="46" spans="1:11" s="2" customFormat="1" x14ac:dyDescent="0.25">
      <c r="A46" s="2" t="s">
        <v>19</v>
      </c>
      <c r="B46">
        <v>140</v>
      </c>
      <c r="C46">
        <v>169</v>
      </c>
      <c r="D46">
        <v>201</v>
      </c>
      <c r="E46">
        <v>230</v>
      </c>
      <c r="F46">
        <v>240</v>
      </c>
      <c r="G46">
        <v>231</v>
      </c>
      <c r="H46">
        <v>252</v>
      </c>
      <c r="I46">
        <v>271</v>
      </c>
      <c r="J46">
        <v>277</v>
      </c>
      <c r="K46">
        <v>282</v>
      </c>
    </row>
    <row r="47" spans="1:11" s="2" customFormat="1" x14ac:dyDescent="0.25">
      <c r="A47" s="2" t="s">
        <v>18</v>
      </c>
      <c r="B47">
        <v>1252</v>
      </c>
      <c r="C47">
        <v>1378</v>
      </c>
      <c r="D47">
        <v>991</v>
      </c>
      <c r="E47">
        <v>973</v>
      </c>
      <c r="F47">
        <v>948</v>
      </c>
      <c r="G47">
        <v>1396</v>
      </c>
      <c r="H47">
        <v>1218</v>
      </c>
      <c r="I47">
        <v>1480</v>
      </c>
      <c r="J47">
        <v>1522</v>
      </c>
      <c r="K47">
        <v>2223</v>
      </c>
    </row>
    <row r="48" spans="1:11" s="2" customFormat="1" x14ac:dyDescent="0.25">
      <c r="A48" s="2" t="s">
        <v>17</v>
      </c>
      <c r="B48">
        <v>336</v>
      </c>
      <c r="C48">
        <v>325</v>
      </c>
      <c r="D48">
        <v>220</v>
      </c>
      <c r="E48">
        <v>258</v>
      </c>
      <c r="F48">
        <v>244</v>
      </c>
      <c r="G48">
        <v>349</v>
      </c>
      <c r="H48">
        <v>347</v>
      </c>
      <c r="I48">
        <v>389</v>
      </c>
      <c r="J48">
        <v>402</v>
      </c>
      <c r="K48">
        <v>539</v>
      </c>
    </row>
    <row r="49" spans="1:11" s="2" customFormat="1" x14ac:dyDescent="0.25">
      <c r="A49" s="2" t="s">
        <v>16</v>
      </c>
      <c r="B49">
        <v>915</v>
      </c>
      <c r="C49">
        <v>1053</v>
      </c>
      <c r="D49">
        <v>771</v>
      </c>
      <c r="E49">
        <v>715</v>
      </c>
      <c r="F49">
        <v>704</v>
      </c>
      <c r="G49">
        <v>1047</v>
      </c>
      <c r="H49">
        <v>871</v>
      </c>
      <c r="I49">
        <v>1091</v>
      </c>
      <c r="J49">
        <v>1120</v>
      </c>
      <c r="K49">
        <v>1684</v>
      </c>
    </row>
    <row r="50" spans="1:11" x14ac:dyDescent="0.25">
      <c r="A50" s="2" t="s">
        <v>22</v>
      </c>
      <c r="B50">
        <v>1411</v>
      </c>
      <c r="C50">
        <v>1565</v>
      </c>
      <c r="D50">
        <v>1191</v>
      </c>
      <c r="E50">
        <v>1247</v>
      </c>
      <c r="F50">
        <v>1236</v>
      </c>
      <c r="G50">
        <v>1674</v>
      </c>
      <c r="H50">
        <v>1537</v>
      </c>
      <c r="I50">
        <v>1830</v>
      </c>
      <c r="J50">
        <v>1875</v>
      </c>
      <c r="K50">
        <v>2713</v>
      </c>
    </row>
    <row r="51" spans="1:11" x14ac:dyDescent="0.25">
      <c r="A51" s="2"/>
    </row>
    <row r="52" spans="1:11" x14ac:dyDescent="0.25">
      <c r="A52" s="2"/>
    </row>
    <row r="53" spans="1:11" x14ac:dyDescent="0.25">
      <c r="A53" s="2"/>
    </row>
    <row r="54" spans="1:11" x14ac:dyDescent="0.25">
      <c r="A54" s="2"/>
    </row>
    <row r="55" spans="1:11" x14ac:dyDescent="0.25">
      <c r="A55" s="1" t="s">
        <v>60</v>
      </c>
    </row>
    <row r="56" spans="1:11" s="19" customFormat="1" x14ac:dyDescent="0.25">
      <c r="A56" s="20" t="s">
        <v>53</v>
      </c>
      <c r="B56" s="7">
        <v>42460</v>
      </c>
      <c r="C56" s="7">
        <v>42825</v>
      </c>
      <c r="D56" s="7">
        <v>43190</v>
      </c>
      <c r="E56" s="7">
        <v>43555</v>
      </c>
      <c r="F56" s="7">
        <v>43921</v>
      </c>
      <c r="G56" s="7">
        <v>44286</v>
      </c>
      <c r="H56" s="7">
        <v>44651</v>
      </c>
      <c r="I56" s="7">
        <v>45016</v>
      </c>
      <c r="J56" s="7">
        <v>45382</v>
      </c>
      <c r="K56" s="7">
        <v>45747</v>
      </c>
    </row>
    <row r="57" spans="1:11" x14ac:dyDescent="0.25">
      <c r="A57" s="2" t="s">
        <v>45</v>
      </c>
      <c r="B57">
        <v>88.78</v>
      </c>
      <c r="C57">
        <v>88.78</v>
      </c>
      <c r="D57">
        <v>88.78</v>
      </c>
      <c r="E57">
        <v>88.78</v>
      </c>
      <c r="F57">
        <v>89</v>
      </c>
      <c r="G57">
        <v>89</v>
      </c>
      <c r="H57">
        <v>89</v>
      </c>
      <c r="I57">
        <v>89</v>
      </c>
      <c r="J57">
        <v>89</v>
      </c>
      <c r="K57">
        <v>89</v>
      </c>
    </row>
    <row r="58" spans="1:11" x14ac:dyDescent="0.25">
      <c r="A58" s="2" t="s">
        <v>44</v>
      </c>
      <c r="B58">
        <v>3417.5</v>
      </c>
      <c r="C58">
        <v>4143.6000000000004</v>
      </c>
      <c r="D58">
        <v>5001.1000000000004</v>
      </c>
      <c r="E58">
        <v>5981.37</v>
      </c>
      <c r="F58">
        <v>6580</v>
      </c>
      <c r="G58">
        <v>7408</v>
      </c>
      <c r="H58">
        <v>9214</v>
      </c>
      <c r="I58">
        <v>11762</v>
      </c>
      <c r="J58">
        <v>9304</v>
      </c>
      <c r="K58">
        <v>11535</v>
      </c>
    </row>
    <row r="59" spans="1:11" x14ac:dyDescent="0.25">
      <c r="A59" s="2" t="s">
        <v>43</v>
      </c>
      <c r="B59">
        <v>113.05</v>
      </c>
      <c r="C59">
        <v>1882.43</v>
      </c>
      <c r="D59">
        <v>1691.01</v>
      </c>
      <c r="E59">
        <v>2392.98</v>
      </c>
      <c r="F59">
        <v>3562</v>
      </c>
      <c r="G59">
        <v>5638</v>
      </c>
      <c r="H59">
        <v>7275</v>
      </c>
      <c r="I59">
        <v>9367</v>
      </c>
      <c r="J59">
        <v>15528</v>
      </c>
      <c r="K59">
        <v>20777</v>
      </c>
    </row>
    <row r="60" spans="1:11" x14ac:dyDescent="0.25">
      <c r="A60" s="2" t="s">
        <v>42</v>
      </c>
      <c r="B60">
        <v>2722.58</v>
      </c>
      <c r="C60">
        <v>2292.7600000000002</v>
      </c>
      <c r="D60">
        <v>2740.15</v>
      </c>
      <c r="E60">
        <v>3246.71</v>
      </c>
      <c r="F60">
        <v>3313</v>
      </c>
      <c r="G60">
        <v>3309</v>
      </c>
      <c r="H60">
        <v>4610</v>
      </c>
      <c r="I60">
        <v>5802</v>
      </c>
      <c r="J60">
        <v>6626</v>
      </c>
      <c r="K60">
        <v>8244</v>
      </c>
    </row>
    <row r="61" spans="1:11" s="1" customFormat="1" x14ac:dyDescent="0.25">
      <c r="A61" s="1" t="s">
        <v>37</v>
      </c>
      <c r="B61">
        <v>6341.91</v>
      </c>
      <c r="C61">
        <v>8407.57</v>
      </c>
      <c r="D61">
        <v>9521.0400000000009</v>
      </c>
      <c r="E61">
        <v>11709.84</v>
      </c>
      <c r="F61">
        <v>13544</v>
      </c>
      <c r="G61">
        <v>16444</v>
      </c>
      <c r="H61">
        <v>21188</v>
      </c>
      <c r="I61">
        <v>27020</v>
      </c>
      <c r="J61">
        <v>31547</v>
      </c>
      <c r="K61">
        <v>40645</v>
      </c>
    </row>
    <row r="62" spans="1:11" x14ac:dyDescent="0.25">
      <c r="A62" s="2" t="s">
        <v>41</v>
      </c>
      <c r="B62">
        <v>770.54</v>
      </c>
      <c r="C62">
        <v>1188.72</v>
      </c>
      <c r="D62">
        <v>1473.81</v>
      </c>
      <c r="E62">
        <v>1566.63</v>
      </c>
      <c r="F62">
        <v>2633</v>
      </c>
      <c r="G62">
        <v>2523</v>
      </c>
      <c r="H62">
        <v>2544</v>
      </c>
      <c r="I62">
        <v>2998</v>
      </c>
      <c r="J62">
        <v>3709</v>
      </c>
      <c r="K62">
        <v>4062</v>
      </c>
    </row>
    <row r="63" spans="1:11" x14ac:dyDescent="0.25">
      <c r="A63" s="2" t="s">
        <v>40</v>
      </c>
      <c r="B63">
        <v>106.71</v>
      </c>
      <c r="C63">
        <v>152.07</v>
      </c>
      <c r="D63">
        <v>43.37</v>
      </c>
      <c r="E63">
        <v>31.77</v>
      </c>
      <c r="F63">
        <v>18</v>
      </c>
      <c r="G63">
        <v>32</v>
      </c>
      <c r="H63">
        <v>85</v>
      </c>
      <c r="I63">
        <v>144</v>
      </c>
      <c r="J63">
        <v>97</v>
      </c>
      <c r="K63">
        <v>105</v>
      </c>
    </row>
    <row r="64" spans="1:11" x14ac:dyDescent="0.25">
      <c r="A64" s="2" t="s">
        <v>39</v>
      </c>
      <c r="B64">
        <v>30.41</v>
      </c>
      <c r="C64">
        <v>430.73</v>
      </c>
      <c r="D64">
        <v>35.99</v>
      </c>
      <c r="E64">
        <v>108.42</v>
      </c>
      <c r="F64">
        <v>158</v>
      </c>
      <c r="G64">
        <v>2824</v>
      </c>
      <c r="H64">
        <v>294</v>
      </c>
      <c r="I64">
        <v>2515</v>
      </c>
      <c r="J64">
        <v>2345</v>
      </c>
      <c r="K64">
        <v>1988</v>
      </c>
    </row>
    <row r="65" spans="1:11" x14ac:dyDescent="0.25">
      <c r="A65" s="2" t="s">
        <v>38</v>
      </c>
      <c r="B65">
        <v>5434.25</v>
      </c>
      <c r="C65">
        <v>6636.05</v>
      </c>
      <c r="D65">
        <v>7967.87</v>
      </c>
      <c r="E65">
        <v>10003.02</v>
      </c>
      <c r="F65">
        <v>10735</v>
      </c>
      <c r="G65">
        <v>11065</v>
      </c>
      <c r="H65">
        <v>18265</v>
      </c>
      <c r="I65">
        <v>21363</v>
      </c>
      <c r="J65">
        <v>25396</v>
      </c>
      <c r="K65">
        <v>34490</v>
      </c>
    </row>
    <row r="66" spans="1:11" s="1" customFormat="1" x14ac:dyDescent="0.25">
      <c r="A66" s="1" t="s">
        <v>37</v>
      </c>
      <c r="B66">
        <v>6341.91</v>
      </c>
      <c r="C66">
        <v>8407.57</v>
      </c>
      <c r="D66">
        <v>9521.0400000000009</v>
      </c>
      <c r="E66">
        <v>11709.84</v>
      </c>
      <c r="F66">
        <v>13544</v>
      </c>
      <c r="G66">
        <v>16444</v>
      </c>
      <c r="H66">
        <v>21188</v>
      </c>
      <c r="I66">
        <v>27020</v>
      </c>
      <c r="J66">
        <v>31547</v>
      </c>
      <c r="K66">
        <v>40645</v>
      </c>
    </row>
    <row r="67" spans="1:11" s="2" customFormat="1" x14ac:dyDescent="0.25">
      <c r="A67" s="2" t="s">
        <v>59</v>
      </c>
      <c r="B67">
        <v>192.5</v>
      </c>
      <c r="C67">
        <v>207.6</v>
      </c>
      <c r="D67">
        <v>295.69</v>
      </c>
      <c r="E67">
        <v>420.45</v>
      </c>
      <c r="F67">
        <v>312</v>
      </c>
      <c r="G67">
        <v>366</v>
      </c>
      <c r="H67">
        <v>565</v>
      </c>
      <c r="I67">
        <v>674</v>
      </c>
      <c r="J67">
        <v>1018</v>
      </c>
      <c r="K67">
        <v>1068</v>
      </c>
    </row>
    <row r="68" spans="1:11" x14ac:dyDescent="0.25">
      <c r="A68" s="2" t="s">
        <v>34</v>
      </c>
      <c r="B68">
        <v>4447.1499999999996</v>
      </c>
      <c r="C68">
        <v>4925.74</v>
      </c>
      <c r="D68">
        <v>5924.84</v>
      </c>
      <c r="E68">
        <v>7038.82</v>
      </c>
      <c r="F68">
        <v>8103</v>
      </c>
      <c r="G68">
        <v>8408</v>
      </c>
      <c r="H68">
        <v>13609</v>
      </c>
      <c r="I68">
        <v>16584</v>
      </c>
      <c r="J68">
        <v>19051</v>
      </c>
      <c r="K68">
        <v>28184</v>
      </c>
    </row>
    <row r="69" spans="1:11" x14ac:dyDescent="0.25">
      <c r="A69" s="14" t="s">
        <v>58</v>
      </c>
      <c r="B69">
        <v>116.35</v>
      </c>
      <c r="C69">
        <v>778.93</v>
      </c>
      <c r="D69">
        <v>617.91</v>
      </c>
      <c r="E69">
        <v>1066.48</v>
      </c>
      <c r="F69">
        <v>381</v>
      </c>
      <c r="G69">
        <v>560</v>
      </c>
      <c r="H69">
        <v>1573</v>
      </c>
      <c r="I69">
        <v>1343</v>
      </c>
      <c r="J69">
        <v>1526</v>
      </c>
      <c r="K69">
        <v>1584</v>
      </c>
    </row>
    <row r="70" spans="1:11" x14ac:dyDescent="0.25">
      <c r="A70" s="14" t="s">
        <v>57</v>
      </c>
      <c r="B70">
        <v>887786160</v>
      </c>
      <c r="C70">
        <v>887786160</v>
      </c>
      <c r="D70">
        <v>887786160</v>
      </c>
      <c r="E70">
        <v>887786160</v>
      </c>
      <c r="F70">
        <v>887786160</v>
      </c>
      <c r="G70">
        <v>887786160</v>
      </c>
      <c r="H70">
        <v>887786160</v>
      </c>
      <c r="I70">
        <v>890000000</v>
      </c>
      <c r="J70">
        <v>890000000</v>
      </c>
      <c r="K70">
        <v>890000000</v>
      </c>
    </row>
    <row r="71" spans="1:11" x14ac:dyDescent="0.25">
      <c r="A71" s="14" t="s">
        <v>56</v>
      </c>
    </row>
    <row r="72" spans="1:11" x14ac:dyDescent="0.25">
      <c r="A72" s="14" t="s">
        <v>55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2"/>
    </row>
    <row r="75" spans="1:11" x14ac:dyDescent="0.25">
      <c r="A75" s="2"/>
    </row>
    <row r="76" spans="1:11" x14ac:dyDescent="0.25">
      <c r="A76" s="2"/>
    </row>
    <row r="77" spans="1:11" x14ac:dyDescent="0.25">
      <c r="A77" s="2"/>
    </row>
    <row r="78" spans="1:11" x14ac:dyDescent="0.25">
      <c r="A78" s="2"/>
    </row>
    <row r="79" spans="1:11" x14ac:dyDescent="0.25">
      <c r="A79" s="2"/>
    </row>
    <row r="80" spans="1:11" x14ac:dyDescent="0.25">
      <c r="A80" s="1" t="s">
        <v>54</v>
      </c>
    </row>
    <row r="81" spans="1:11" s="19" customFormat="1" x14ac:dyDescent="0.25">
      <c r="A81" s="20" t="s">
        <v>53</v>
      </c>
      <c r="B81" s="7">
        <v>42460</v>
      </c>
      <c r="C81" s="7">
        <v>42825</v>
      </c>
      <c r="D81" s="7">
        <v>43190</v>
      </c>
      <c r="E81" s="7">
        <v>43555</v>
      </c>
      <c r="F81" s="7">
        <v>43921</v>
      </c>
      <c r="G81" s="7">
        <v>44286</v>
      </c>
      <c r="H81" s="7">
        <v>44651</v>
      </c>
      <c r="I81" s="7">
        <v>45016</v>
      </c>
      <c r="J81" s="7">
        <v>45382</v>
      </c>
      <c r="K81" s="7">
        <v>45747</v>
      </c>
    </row>
    <row r="82" spans="1:11" s="1" customFormat="1" x14ac:dyDescent="0.25">
      <c r="A82" s="2" t="s">
        <v>49</v>
      </c>
      <c r="B82">
        <v>576.09</v>
      </c>
      <c r="C82">
        <v>1712.3</v>
      </c>
      <c r="D82">
        <v>-51.12</v>
      </c>
      <c r="E82">
        <v>1242.92</v>
      </c>
      <c r="F82">
        <v>-348</v>
      </c>
      <c r="G82">
        <v>4139</v>
      </c>
      <c r="H82">
        <v>-724</v>
      </c>
      <c r="I82">
        <v>1370</v>
      </c>
      <c r="J82">
        <v>1695</v>
      </c>
      <c r="K82">
        <v>-541</v>
      </c>
    </row>
    <row r="83" spans="1:11" s="2" customFormat="1" x14ac:dyDescent="0.25">
      <c r="A83" s="2" t="s">
        <v>48</v>
      </c>
      <c r="B83">
        <v>-158.79</v>
      </c>
      <c r="C83">
        <v>-953.15</v>
      </c>
      <c r="D83">
        <v>97.62</v>
      </c>
      <c r="E83">
        <v>-796.61</v>
      </c>
      <c r="F83">
        <v>235</v>
      </c>
      <c r="G83">
        <v>-2799</v>
      </c>
      <c r="H83">
        <v>1165</v>
      </c>
      <c r="I83">
        <v>-1814</v>
      </c>
      <c r="J83">
        <v>-189</v>
      </c>
      <c r="K83">
        <v>546</v>
      </c>
    </row>
    <row r="84" spans="1:11" s="2" customFormat="1" x14ac:dyDescent="0.25">
      <c r="A84" s="2" t="s">
        <v>47</v>
      </c>
      <c r="B84">
        <v>-504.84</v>
      </c>
      <c r="C84">
        <v>-165.6</v>
      </c>
      <c r="D84">
        <v>-252.45</v>
      </c>
      <c r="E84">
        <v>-488.83</v>
      </c>
      <c r="F84">
        <v>-242</v>
      </c>
      <c r="G84">
        <v>-1234</v>
      </c>
      <c r="H84">
        <v>-403</v>
      </c>
      <c r="I84">
        <v>457</v>
      </c>
      <c r="J84">
        <v>-1329</v>
      </c>
      <c r="K84">
        <v>-7</v>
      </c>
    </row>
    <row r="85" spans="1:11" s="1" customFormat="1" x14ac:dyDescent="0.25">
      <c r="A85" s="2" t="s">
        <v>46</v>
      </c>
      <c r="B85">
        <v>-87.54</v>
      </c>
      <c r="C85">
        <v>593.54999999999995</v>
      </c>
      <c r="D85">
        <v>-205.95</v>
      </c>
      <c r="E85">
        <v>-42.52</v>
      </c>
      <c r="F85">
        <v>-355</v>
      </c>
      <c r="G85">
        <v>106</v>
      </c>
      <c r="H85">
        <v>38</v>
      </c>
      <c r="I85">
        <v>13</v>
      </c>
      <c r="J85">
        <v>177</v>
      </c>
      <c r="K85">
        <v>-2</v>
      </c>
    </row>
    <row r="86" spans="1:11" x14ac:dyDescent="0.25">
      <c r="A86" s="2"/>
    </row>
    <row r="87" spans="1:11" x14ac:dyDescent="0.25">
      <c r="A87" s="2"/>
    </row>
    <row r="88" spans="1:11" x14ac:dyDescent="0.25">
      <c r="A88" s="2"/>
    </row>
    <row r="89" spans="1:11" x14ac:dyDescent="0.25">
      <c r="A89" s="2"/>
    </row>
    <row r="90" spans="1:11" s="1" customFormat="1" x14ac:dyDescent="0.25">
      <c r="A90" s="1" t="s">
        <v>52</v>
      </c>
      <c r="B90">
        <v>338.8</v>
      </c>
      <c r="C90">
        <v>462.75</v>
      </c>
      <c r="D90">
        <v>942.3</v>
      </c>
      <c r="E90">
        <v>1141.8499999999999</v>
      </c>
      <c r="F90">
        <v>933.7</v>
      </c>
      <c r="G90">
        <v>1558.05</v>
      </c>
      <c r="H90">
        <v>2536.15</v>
      </c>
      <c r="I90">
        <v>2514.9</v>
      </c>
      <c r="J90">
        <v>3801.8</v>
      </c>
      <c r="K90">
        <v>3063.35</v>
      </c>
    </row>
    <row r="92" spans="1:11" s="1" customFormat="1" x14ac:dyDescent="0.25">
      <c r="A92" s="1" t="s">
        <v>51</v>
      </c>
    </row>
    <row r="93" spans="1:11" x14ac:dyDescent="0.25">
      <c r="A93" s="14" t="s">
        <v>50</v>
      </c>
      <c r="B93" s="18">
        <v>88.78</v>
      </c>
      <c r="C93" s="18">
        <v>88.78</v>
      </c>
      <c r="D93" s="18">
        <v>88.78</v>
      </c>
      <c r="E93" s="18">
        <v>88.78</v>
      </c>
      <c r="F93" s="18">
        <v>88.78</v>
      </c>
      <c r="G93" s="18">
        <v>88.78</v>
      </c>
      <c r="H93" s="18">
        <v>88.78</v>
      </c>
      <c r="I93" s="18">
        <v>88.78</v>
      </c>
      <c r="J93" s="18">
        <v>88.78</v>
      </c>
      <c r="K93" s="18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18369704-6964-41F9-A373-45790B24BD8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B5D2-52E9-47A2-8F8E-889582A9B08B}">
  <sheetPr>
    <pageSetUpPr fitToPage="1"/>
  </sheetPr>
  <dimension ref="A1:N25"/>
  <sheetViews>
    <sheetView zoomScale="120" zoomScaleNormal="120" zoomScaleSheetLayoutView="100" zoomScalePageLayoutView="120" workbookViewId="0">
      <pane xSplit="1" ySplit="4" topLeftCell="E5" activePane="bottomRight" state="frozen"/>
      <selection activeCell="I2" sqref="I2"/>
      <selection pane="topRight" activeCell="I2" sqref="I2"/>
      <selection pane="bottomLeft" activeCell="I2" sqref="I2"/>
      <selection pane="bottomRight" activeCell="M4" sqref="M4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5" customFormat="1" x14ac:dyDescent="0.25">
      <c r="A1" s="5" t="str">
        <f>'Data Sheet'!B1</f>
        <v>TITAN COMPANY LTD</v>
      </c>
      <c r="H1" t="str">
        <f>UPDATE</f>
        <v/>
      </c>
      <c r="J1" s="12"/>
      <c r="K1" s="12"/>
      <c r="M1" s="5" t="s">
        <v>29</v>
      </c>
    </row>
    <row r="3" spans="1:14" s="5" customFormat="1" x14ac:dyDescent="0.25">
      <c r="A3" s="8" t="s">
        <v>28</v>
      </c>
      <c r="B3" s="7">
        <f>'Data Sheet'!B16</f>
        <v>42460</v>
      </c>
      <c r="C3" s="7">
        <f>'Data Sheet'!C16</f>
        <v>42825</v>
      </c>
      <c r="D3" s="7">
        <f>'Data Sheet'!D16</f>
        <v>43190</v>
      </c>
      <c r="E3" s="7">
        <f>'Data Sheet'!E16</f>
        <v>43555</v>
      </c>
      <c r="F3" s="7">
        <f>'Data Sheet'!F16</f>
        <v>43921</v>
      </c>
      <c r="G3" s="7">
        <f>'Data Sheet'!G16</f>
        <v>44286</v>
      </c>
      <c r="H3" s="7">
        <f>'Data Sheet'!H16</f>
        <v>44651</v>
      </c>
      <c r="I3" s="7">
        <f>'Data Sheet'!I16</f>
        <v>45016</v>
      </c>
      <c r="J3" s="7">
        <f>'Data Sheet'!J16</f>
        <v>45382</v>
      </c>
      <c r="K3" s="7">
        <f>'Data Sheet'!K16</f>
        <v>45747</v>
      </c>
      <c r="L3" s="6" t="s">
        <v>27</v>
      </c>
      <c r="M3" s="6" t="s">
        <v>26</v>
      </c>
      <c r="N3" s="6" t="s">
        <v>25</v>
      </c>
    </row>
    <row r="4" spans="1:14" s="5" customFormat="1" x14ac:dyDescent="0.25">
      <c r="A4" s="5" t="s">
        <v>24</v>
      </c>
      <c r="B4" s="1">
        <f>'Data Sheet'!B17</f>
        <v>11275.89</v>
      </c>
      <c r="C4" s="1">
        <f>'Data Sheet'!C17</f>
        <v>13260.83</v>
      </c>
      <c r="D4" s="1">
        <f>'Data Sheet'!D17</f>
        <v>16119.77</v>
      </c>
      <c r="E4" s="1">
        <f>'Data Sheet'!E17</f>
        <v>19778.52</v>
      </c>
      <c r="F4" s="1">
        <f>'Data Sheet'!F17</f>
        <v>21052</v>
      </c>
      <c r="G4" s="1">
        <f>'Data Sheet'!G17</f>
        <v>21644</v>
      </c>
      <c r="H4" s="1">
        <f>'Data Sheet'!H17</f>
        <v>28799</v>
      </c>
      <c r="I4" s="1">
        <f>'Data Sheet'!I17</f>
        <v>40575</v>
      </c>
      <c r="J4" s="1">
        <f>'Data Sheet'!J17</f>
        <v>51084</v>
      </c>
      <c r="K4" s="1">
        <f>'Data Sheet'!K17</f>
        <v>60456</v>
      </c>
      <c r="L4" s="1">
        <f>SUM(Quarters!H4:K4)</f>
        <v>75580</v>
      </c>
      <c r="M4" s="1">
        <f>$K4+M23*K4</f>
        <v>77409.348027521541</v>
      </c>
      <c r="N4" s="1">
        <f>$K4+N23*L4</f>
        <v>75959.340878492076</v>
      </c>
    </row>
    <row r="5" spans="1:14" x14ac:dyDescent="0.25">
      <c r="A5" t="s">
        <v>23</v>
      </c>
      <c r="B5" s="2">
        <f>SUM('Data Sheet'!B18,'Data Sheet'!B20:B24, -1*'Data Sheet'!B19)</f>
        <v>10336.560000000001</v>
      </c>
      <c r="C5" s="2">
        <f>SUM('Data Sheet'!C18,'Data Sheet'!C20:C24, -1*'Data Sheet'!C19)</f>
        <v>12096.93</v>
      </c>
      <c r="D5" s="2">
        <f>SUM('Data Sheet'!D18,'Data Sheet'!D20:D24, -1*'Data Sheet'!D19)</f>
        <v>14475.569999999998</v>
      </c>
      <c r="E5" s="2">
        <f>SUM('Data Sheet'!E18,'Data Sheet'!E20:E24, -1*'Data Sheet'!E19)</f>
        <v>17784.73</v>
      </c>
      <c r="F5" s="2">
        <f>SUM('Data Sheet'!F18,'Data Sheet'!F20:F24, -1*'Data Sheet'!F19)</f>
        <v>18589</v>
      </c>
      <c r="G5" s="2">
        <f>SUM('Data Sheet'!G18,'Data Sheet'!G20:G24, -1*'Data Sheet'!G19)</f>
        <v>19919</v>
      </c>
      <c r="H5" s="2">
        <f>SUM('Data Sheet'!H18,'Data Sheet'!H20:H24, -1*'Data Sheet'!H19)</f>
        <v>25455</v>
      </c>
      <c r="I5" s="2">
        <f>SUM('Data Sheet'!I18,'Data Sheet'!I20:I24, -1*'Data Sheet'!I19)</f>
        <v>35693</v>
      </c>
      <c r="J5" s="2">
        <f>SUM('Data Sheet'!J18,'Data Sheet'!J20:J24, -1*'Data Sheet'!J19)</f>
        <v>45792</v>
      </c>
      <c r="K5" s="2">
        <f>SUM('Data Sheet'!K18,'Data Sheet'!K20:K24, -1*'Data Sheet'!K19)</f>
        <v>54762</v>
      </c>
      <c r="L5" s="2">
        <f>SUM(Quarters!H5:K5)</f>
        <v>67625</v>
      </c>
      <c r="M5" s="2">
        <f>M4-M6</f>
        <v>69261.804185778572</v>
      </c>
      <c r="N5" s="2">
        <f>N4-N6</f>
        <v>68166.39333262555</v>
      </c>
    </row>
    <row r="6" spans="1:14" s="5" customFormat="1" x14ac:dyDescent="0.25">
      <c r="A6" s="5" t="s">
        <v>22</v>
      </c>
      <c r="B6" s="1">
        <f t="shared" ref="B6:K6" si="0">B4-B5</f>
        <v>939.32999999999811</v>
      </c>
      <c r="C6" s="1">
        <f t="shared" si="0"/>
        <v>1163.8999999999996</v>
      </c>
      <c r="D6" s="1">
        <f t="shared" si="0"/>
        <v>1644.2000000000025</v>
      </c>
      <c r="E6" s="1">
        <f t="shared" si="0"/>
        <v>1993.7900000000009</v>
      </c>
      <c r="F6" s="1">
        <f t="shared" si="0"/>
        <v>2463</v>
      </c>
      <c r="G6" s="1">
        <f t="shared" si="0"/>
        <v>1725</v>
      </c>
      <c r="H6" s="1">
        <f t="shared" si="0"/>
        <v>3344</v>
      </c>
      <c r="I6" s="1">
        <f t="shared" si="0"/>
        <v>4882</v>
      </c>
      <c r="J6" s="1">
        <f t="shared" si="0"/>
        <v>5292</v>
      </c>
      <c r="K6" s="1">
        <f t="shared" si="0"/>
        <v>5694</v>
      </c>
      <c r="L6" s="1">
        <f>SUM(Quarters!H6:K6)</f>
        <v>7955</v>
      </c>
      <c r="M6" s="1">
        <f>M4*M24</f>
        <v>8147.5438417429723</v>
      </c>
      <c r="N6" s="1">
        <f>N4*N24</f>
        <v>7792.9475458665192</v>
      </c>
    </row>
    <row r="7" spans="1:14" x14ac:dyDescent="0.25">
      <c r="A7" t="s">
        <v>21</v>
      </c>
      <c r="B7" s="2">
        <f>'Data Sheet'!B25</f>
        <v>69.33</v>
      </c>
      <c r="C7" s="2">
        <f>'Data Sheet'!C25</f>
        <v>-42.38</v>
      </c>
      <c r="D7" s="2">
        <f>'Data Sheet'!D25</f>
        <v>69.930000000000007</v>
      </c>
      <c r="E7" s="2">
        <f>'Data Sheet'!E25</f>
        <v>178.48</v>
      </c>
      <c r="F7" s="2">
        <f>'Data Sheet'!F25</f>
        <v>153</v>
      </c>
      <c r="G7" s="2">
        <f>'Data Sheet'!G25</f>
        <v>180</v>
      </c>
      <c r="H7" s="2">
        <f>'Data Sheet'!H25</f>
        <v>177</v>
      </c>
      <c r="I7" s="2">
        <f>'Data Sheet'!I25</f>
        <v>306</v>
      </c>
      <c r="J7" s="2">
        <f>'Data Sheet'!J25</f>
        <v>534</v>
      </c>
      <c r="K7" s="2">
        <f>'Data Sheet'!K25</f>
        <v>487</v>
      </c>
      <c r="L7" s="2">
        <f>SUM(Quarters!H7:K7)</f>
        <v>333</v>
      </c>
      <c r="M7" s="2">
        <v>0</v>
      </c>
      <c r="N7" s="2">
        <v>0</v>
      </c>
    </row>
    <row r="8" spans="1:14" x14ac:dyDescent="0.25">
      <c r="A8" t="s">
        <v>20</v>
      </c>
      <c r="B8" s="2">
        <f>'Data Sheet'!B26</f>
        <v>98.19</v>
      </c>
      <c r="C8" s="2">
        <f>'Data Sheet'!C26</f>
        <v>110.53</v>
      </c>
      <c r="D8" s="2">
        <f>'Data Sheet'!D26</f>
        <v>131.43</v>
      </c>
      <c r="E8" s="2">
        <f>'Data Sheet'!E26</f>
        <v>162.84</v>
      </c>
      <c r="F8" s="2">
        <f>'Data Sheet'!F26</f>
        <v>348</v>
      </c>
      <c r="G8" s="2">
        <f>'Data Sheet'!G26</f>
        <v>375</v>
      </c>
      <c r="H8" s="2">
        <f>'Data Sheet'!H26</f>
        <v>399</v>
      </c>
      <c r="I8" s="2">
        <f>'Data Sheet'!I26</f>
        <v>441</v>
      </c>
      <c r="J8" s="2">
        <f>'Data Sheet'!J26</f>
        <v>584</v>
      </c>
      <c r="K8" s="2">
        <f>'Data Sheet'!K26</f>
        <v>693</v>
      </c>
      <c r="L8" s="2">
        <f>SUM(Quarters!H8:K8)</f>
        <v>763</v>
      </c>
      <c r="M8" s="2">
        <f>+$L8</f>
        <v>763</v>
      </c>
      <c r="N8" s="2">
        <f>+$L8</f>
        <v>763</v>
      </c>
    </row>
    <row r="9" spans="1:14" x14ac:dyDescent="0.25">
      <c r="A9" t="s">
        <v>19</v>
      </c>
      <c r="B9" s="2">
        <f>'Data Sheet'!B27</f>
        <v>42.36</v>
      </c>
      <c r="C9" s="2">
        <f>'Data Sheet'!C27</f>
        <v>37.74</v>
      </c>
      <c r="D9" s="2">
        <f>'Data Sheet'!D27</f>
        <v>52.92</v>
      </c>
      <c r="E9" s="2">
        <f>'Data Sheet'!E27</f>
        <v>52.54</v>
      </c>
      <c r="F9" s="2">
        <f>'Data Sheet'!F27</f>
        <v>166</v>
      </c>
      <c r="G9" s="2">
        <f>'Data Sheet'!G27</f>
        <v>203</v>
      </c>
      <c r="H9" s="2">
        <f>'Data Sheet'!H27</f>
        <v>218</v>
      </c>
      <c r="I9" s="2">
        <f>'Data Sheet'!I27</f>
        <v>300</v>
      </c>
      <c r="J9" s="2">
        <f>'Data Sheet'!J27</f>
        <v>619</v>
      </c>
      <c r="K9" s="2">
        <f>'Data Sheet'!K27</f>
        <v>953</v>
      </c>
      <c r="L9" s="2">
        <f>SUM(Quarters!H9:K9)</f>
        <v>1082</v>
      </c>
      <c r="M9" s="2">
        <f>+$L9</f>
        <v>1082</v>
      </c>
      <c r="N9" s="2">
        <f>+$L9</f>
        <v>1082</v>
      </c>
    </row>
    <row r="10" spans="1:14" x14ac:dyDescent="0.25">
      <c r="A10" t="s">
        <v>18</v>
      </c>
      <c r="B10" s="2">
        <f>'Data Sheet'!B28</f>
        <v>868.11</v>
      </c>
      <c r="C10" s="2">
        <f>'Data Sheet'!C28</f>
        <v>973.25</v>
      </c>
      <c r="D10" s="2">
        <f>'Data Sheet'!D28</f>
        <v>1529.78</v>
      </c>
      <c r="E10" s="2">
        <f>'Data Sheet'!E28</f>
        <v>1956.89</v>
      </c>
      <c r="F10" s="2">
        <f>'Data Sheet'!F28</f>
        <v>2102</v>
      </c>
      <c r="G10" s="2">
        <f>'Data Sheet'!G28</f>
        <v>1327</v>
      </c>
      <c r="H10" s="2">
        <f>'Data Sheet'!H28</f>
        <v>2904</v>
      </c>
      <c r="I10" s="2">
        <f>'Data Sheet'!I28</f>
        <v>4447</v>
      </c>
      <c r="J10" s="2">
        <f>'Data Sheet'!J28</f>
        <v>4623</v>
      </c>
      <c r="K10" s="2">
        <f>'Data Sheet'!K28</f>
        <v>4535</v>
      </c>
      <c r="L10" s="2">
        <f>SUM(Quarters!H10:K10)</f>
        <v>6443</v>
      </c>
      <c r="M10" s="2">
        <f>M6+M7-SUM(M8:M9)</f>
        <v>6302.5438417429723</v>
      </c>
      <c r="N10" s="2">
        <f>N6+N7-SUM(N8:N9)</f>
        <v>5947.9475458665192</v>
      </c>
    </row>
    <row r="11" spans="1:14" x14ac:dyDescent="0.25">
      <c r="A11" t="s">
        <v>17</v>
      </c>
      <c r="B11" s="2">
        <f>'Data Sheet'!B29</f>
        <v>191.59</v>
      </c>
      <c r="C11" s="2">
        <f>'Data Sheet'!C29</f>
        <v>275.97000000000003</v>
      </c>
      <c r="D11" s="2">
        <f>'Data Sheet'!D29</f>
        <v>427.87</v>
      </c>
      <c r="E11" s="2">
        <f>'Data Sheet'!E29</f>
        <v>568.24</v>
      </c>
      <c r="F11" s="2">
        <f>'Data Sheet'!F29</f>
        <v>609</v>
      </c>
      <c r="G11" s="2">
        <f>'Data Sheet'!G29</f>
        <v>353</v>
      </c>
      <c r="H11" s="2">
        <f>'Data Sheet'!H29</f>
        <v>706</v>
      </c>
      <c r="I11" s="2">
        <f>'Data Sheet'!I29</f>
        <v>1173</v>
      </c>
      <c r="J11" s="2">
        <f>'Data Sheet'!J29</f>
        <v>1127</v>
      </c>
      <c r="K11" s="2">
        <f>'Data Sheet'!K29</f>
        <v>1198</v>
      </c>
      <c r="L11" s="2">
        <f>SUM(Quarters!H11:K11)</f>
        <v>1677</v>
      </c>
      <c r="M11" s="11">
        <f>IF($L10&gt;0,$L11/$L10,0)</f>
        <v>0.26028247710693775</v>
      </c>
      <c r="N11" s="11">
        <f>IF($L10&gt;0,$L11/$L10,0)</f>
        <v>0.26028247710693775</v>
      </c>
    </row>
    <row r="12" spans="1:14" s="5" customFormat="1" x14ac:dyDescent="0.25">
      <c r="A12" s="5" t="s">
        <v>16</v>
      </c>
      <c r="B12" s="1">
        <f>'Data Sheet'!B30</f>
        <v>674.52</v>
      </c>
      <c r="C12" s="1">
        <f>'Data Sheet'!C30</f>
        <v>711.47</v>
      </c>
      <c r="D12" s="1">
        <f>'Data Sheet'!D30</f>
        <v>1130.0899999999999</v>
      </c>
      <c r="E12" s="1">
        <f>'Data Sheet'!E30</f>
        <v>1404.15</v>
      </c>
      <c r="F12" s="1">
        <f>'Data Sheet'!F30</f>
        <v>1501</v>
      </c>
      <c r="G12" s="1">
        <f>'Data Sheet'!G30</f>
        <v>973</v>
      </c>
      <c r="H12" s="1">
        <f>'Data Sheet'!H30</f>
        <v>2173</v>
      </c>
      <c r="I12" s="1">
        <f>'Data Sheet'!I30</f>
        <v>3250</v>
      </c>
      <c r="J12" s="1">
        <f>'Data Sheet'!J30</f>
        <v>3496</v>
      </c>
      <c r="K12" s="1">
        <f>'Data Sheet'!K30</f>
        <v>3337</v>
      </c>
      <c r="L12" s="1">
        <f>SUM(Quarters!H12:K12)</f>
        <v>4766</v>
      </c>
      <c r="M12" s="1">
        <f>M10-M11*M10</f>
        <v>4662.1021185390355</v>
      </c>
      <c r="N12" s="1">
        <f>N10-N11*N10</f>
        <v>4399.8010249262506</v>
      </c>
    </row>
    <row r="13" spans="1:14" x14ac:dyDescent="0.25">
      <c r="A13" t="s">
        <v>15</v>
      </c>
      <c r="B13" s="2">
        <f>IF('Data Sheet'!B93&gt;0,B12/'Data Sheet'!B93,0)</f>
        <v>7.5976571299842304</v>
      </c>
      <c r="C13" s="2">
        <f>IF('Data Sheet'!C93&gt;0,C12/'Data Sheet'!C93,0)</f>
        <v>8.0138544717278677</v>
      </c>
      <c r="D13" s="2">
        <f>IF('Data Sheet'!D93&gt;0,D12/'Data Sheet'!D93,0)</f>
        <v>12.729105654426672</v>
      </c>
      <c r="E13" s="2">
        <f>IF('Data Sheet'!E93&gt;0,E12/'Data Sheet'!E93,0)</f>
        <v>15.816062176165804</v>
      </c>
      <c r="F13" s="2">
        <f>IF('Data Sheet'!F93&gt;0,F12/'Data Sheet'!F93,0)</f>
        <v>16.90696102725839</v>
      </c>
      <c r="G13" s="2">
        <f>IF('Data Sheet'!G93&gt;0,G12/'Data Sheet'!G93,0)</f>
        <v>10.959675602613201</v>
      </c>
      <c r="H13" s="2">
        <f>IF('Data Sheet'!H93&gt;0,H12/'Data Sheet'!H93,0)</f>
        <v>24.476233385897725</v>
      </c>
      <c r="I13" s="2">
        <f>IF('Data Sheet'!I93&gt;0,I12/'Data Sheet'!I93,0)</f>
        <v>36.607343996395585</v>
      </c>
      <c r="J13" s="2">
        <f>IF('Data Sheet'!J93&gt;0,J12/'Data Sheet'!J93,0)</f>
        <v>39.37823834196891</v>
      </c>
      <c r="K13" s="2">
        <f>IF('Data Sheet'!K93&gt;0,K12/'Data Sheet'!K93,0)</f>
        <v>37.58729443568371</v>
      </c>
      <c r="L13" s="2">
        <f>IF('Data Sheet'!$B6&gt;0,'Profit &amp; Loss '!L12/'Data Sheet'!$B6,0)</f>
        <v>53.711075275796205</v>
      </c>
      <c r="M13" s="2">
        <f>IF('Data Sheet'!$B6&gt;0,'Profit &amp; Loss '!M12/'Data Sheet'!$B6,0)</f>
        <v>52.540184186382518</v>
      </c>
      <c r="N13" s="2">
        <f>IF('Data Sheet'!$B6&gt;0,'Profit &amp; Loss '!N12/'Data Sheet'!$B6,0)</f>
        <v>49.584146883831124</v>
      </c>
    </row>
    <row r="14" spans="1:14" x14ac:dyDescent="0.25">
      <c r="A14" t="s">
        <v>14</v>
      </c>
      <c r="B14" s="2">
        <f t="shared" ref="B14:K14" si="1">IF(B15&gt;0,B15/B13,"")</f>
        <v>44.592694063926942</v>
      </c>
      <c r="C14" s="2">
        <f t="shared" si="1"/>
        <v>57.74374885799822</v>
      </c>
      <c r="D14" s="2">
        <f t="shared" si="1"/>
        <v>74.027196064030306</v>
      </c>
      <c r="E14" s="2">
        <f t="shared" si="1"/>
        <v>72.195593775593764</v>
      </c>
      <c r="F14" s="2">
        <f t="shared" si="1"/>
        <v>55.225773484343776</v>
      </c>
      <c r="G14" s="2">
        <f t="shared" si="1"/>
        <v>142.16205447070914</v>
      </c>
      <c r="H14" s="2">
        <f t="shared" si="1"/>
        <v>103.61684169351128</v>
      </c>
      <c r="I14" s="2">
        <f t="shared" si="1"/>
        <v>68.699329846153844</v>
      </c>
      <c r="J14" s="2">
        <f t="shared" si="1"/>
        <v>96.545710526315801</v>
      </c>
      <c r="K14" s="2">
        <f t="shared" si="1"/>
        <v>81.499614324243339</v>
      </c>
      <c r="L14" s="2">
        <f>IF(L13&gt;0,L15/L13,0)</f>
        <v>77.844280318925726</v>
      </c>
      <c r="M14" s="2">
        <f>M25</f>
        <v>81.147233753909674</v>
      </c>
      <c r="N14" s="2">
        <f>N25</f>
        <v>77.844280318925726</v>
      </c>
    </row>
    <row r="15" spans="1:14" s="5" customFormat="1" x14ac:dyDescent="0.25">
      <c r="A15" s="5" t="s">
        <v>13</v>
      </c>
      <c r="B15" s="1">
        <f>'Data Sheet'!B90</f>
        <v>338.8</v>
      </c>
      <c r="C15" s="1">
        <f>'Data Sheet'!C90</f>
        <v>462.75</v>
      </c>
      <c r="D15" s="1">
        <f>'Data Sheet'!D90</f>
        <v>942.3</v>
      </c>
      <c r="E15" s="1">
        <f>'Data Sheet'!E90</f>
        <v>1141.8499999999999</v>
      </c>
      <c r="F15" s="1">
        <f>'Data Sheet'!F90</f>
        <v>933.7</v>
      </c>
      <c r="G15" s="1">
        <f>'Data Sheet'!G90</f>
        <v>1558.05</v>
      </c>
      <c r="H15" s="1">
        <f>'Data Sheet'!H90</f>
        <v>2536.15</v>
      </c>
      <c r="I15" s="1">
        <f>'Data Sheet'!I90</f>
        <v>2514.9</v>
      </c>
      <c r="J15" s="1">
        <f>'Data Sheet'!J90</f>
        <v>3801.8</v>
      </c>
      <c r="K15" s="1">
        <f>'Data Sheet'!K90</f>
        <v>3063.35</v>
      </c>
      <c r="L15" s="1">
        <f>'Data Sheet'!B8</f>
        <v>4181.1000000000004</v>
      </c>
      <c r="M15" s="10">
        <f>M13*M14</f>
        <v>4263.490607645851</v>
      </c>
      <c r="N15" s="9">
        <f>N13*N14</f>
        <v>3859.8422293997378</v>
      </c>
    </row>
    <row r="17" spans="1:14" s="5" customFormat="1" x14ac:dyDescent="0.25">
      <c r="A17" s="5" t="s">
        <v>12</v>
      </c>
    </row>
    <row r="18" spans="1:14" x14ac:dyDescent="0.25">
      <c r="A18" t="s">
        <v>11</v>
      </c>
      <c r="B18" s="4">
        <f>IF('Data Sheet'!B30&gt;0, 'Data Sheet'!B31/'Data Sheet'!B30, 0)</f>
        <v>0.28956887860997449</v>
      </c>
      <c r="C18" s="4">
        <f>IF('Data Sheet'!C30&gt;0, 'Data Sheet'!C31/'Data Sheet'!C30, 0)</f>
        <v>0.32444094620995967</v>
      </c>
      <c r="D18" s="4">
        <f>IF('Data Sheet'!D30&gt;0, 'Data Sheet'!D31/'Data Sheet'!D30, 0)</f>
        <v>0.29459600562787036</v>
      </c>
      <c r="E18" s="4">
        <f>IF('Data Sheet'!E30&gt;0, 'Data Sheet'!E31/'Data Sheet'!E30, 0)</f>
        <v>0.31613431613431608</v>
      </c>
      <c r="F18" s="4">
        <f>IF('Data Sheet'!F30&gt;0, 'Data Sheet'!F31/'Data Sheet'!F30, 0)</f>
        <v>0.23717521652231846</v>
      </c>
      <c r="G18" s="4">
        <f>IF('Data Sheet'!G30&gt;0, 'Data Sheet'!G31/'Data Sheet'!G30, 0)</f>
        <v>0.3658787255909558</v>
      </c>
      <c r="H18" s="4">
        <f>IF('Data Sheet'!H30&gt;0, 'Data Sheet'!H31/'Data Sheet'!H30, 0)</f>
        <v>0.3071790151863783</v>
      </c>
      <c r="I18" s="4">
        <f>IF('Data Sheet'!I30&gt;0, 'Data Sheet'!I31/'Data Sheet'!I30, 0)</f>
        <v>0.27384615384615385</v>
      </c>
      <c r="J18" s="4">
        <f>IF('Data Sheet'!J30&gt;0, 'Data Sheet'!J31/'Data Sheet'!J30, 0)</f>
        <v>0.28003432494279173</v>
      </c>
      <c r="K18" s="4">
        <f>IF('Data Sheet'!K30&gt;0, 'Data Sheet'!K31/'Data Sheet'!K30, 0)</f>
        <v>0.29337728498651483</v>
      </c>
    </row>
    <row r="19" spans="1:14" x14ac:dyDescent="0.25">
      <c r="A19" t="s">
        <v>1</v>
      </c>
      <c r="B19" s="4">
        <f t="shared" ref="B19:L19" si="2">IF(B6&gt;0,B6/B4,0)</f>
        <v>8.3304289062770043E-2</v>
      </c>
      <c r="C19" s="4">
        <f t="shared" si="2"/>
        <v>8.7769770067182798E-2</v>
      </c>
      <c r="D19" s="4">
        <f t="shared" si="2"/>
        <v>0.10199897393076963</v>
      </c>
      <c r="E19" s="4">
        <f t="shared" si="2"/>
        <v>0.10080582369156038</v>
      </c>
      <c r="F19" s="4">
        <f t="shared" si="2"/>
        <v>0.1169960098802964</v>
      </c>
      <c r="G19" s="4">
        <f t="shared" si="2"/>
        <v>7.9698761781556091E-2</v>
      </c>
      <c r="H19" s="4">
        <f t="shared" si="2"/>
        <v>0.11611514288690579</v>
      </c>
      <c r="I19" s="4">
        <f t="shared" si="2"/>
        <v>0.12032039433148491</v>
      </c>
      <c r="J19" s="4">
        <f t="shared" si="2"/>
        <v>0.10359408033826638</v>
      </c>
      <c r="K19" s="4">
        <f t="shared" si="2"/>
        <v>9.4184200079396582E-2</v>
      </c>
      <c r="L19" s="4">
        <f t="shared" si="2"/>
        <v>0.10525271235776661</v>
      </c>
    </row>
    <row r="20" spans="1:14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4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4" s="5" customFormat="1" x14ac:dyDescent="0.25">
      <c r="A22" s="8"/>
      <c r="B22" s="7"/>
      <c r="C22" s="7"/>
      <c r="D22" s="7"/>
      <c r="E22" s="7"/>
      <c r="F22" s="7"/>
      <c r="G22" s="7" t="s">
        <v>10</v>
      </c>
      <c r="H22" s="7" t="s">
        <v>9</v>
      </c>
      <c r="I22" s="7" t="s">
        <v>8</v>
      </c>
      <c r="J22" s="7" t="s">
        <v>7</v>
      </c>
      <c r="K22" s="7" t="s">
        <v>6</v>
      </c>
      <c r="L22" s="6" t="s">
        <v>5</v>
      </c>
      <c r="M22" s="6" t="s">
        <v>4</v>
      </c>
      <c r="N22" s="6" t="s">
        <v>3</v>
      </c>
    </row>
    <row r="23" spans="1:14" s="5" customFormat="1" x14ac:dyDescent="0.25">
      <c r="A23"/>
      <c r="B23"/>
      <c r="C23"/>
      <c r="D23"/>
      <c r="E23"/>
      <c r="F23"/>
      <c r="G23" t="s">
        <v>2</v>
      </c>
      <c r="H23" s="4">
        <f>IF(B4=0,"",POWER($K4/B4,1/9)-1)</f>
        <v>0.20512491239073927</v>
      </c>
      <c r="I23" s="4">
        <f>IF(D4=0,"",POWER($K4/D4,1/7)-1)</f>
        <v>0.20784584524669647</v>
      </c>
      <c r="J23" s="4">
        <f>IF(F4=0,"",POWER($K4/F4,1/5)-1)</f>
        <v>0.23489266089223415</v>
      </c>
      <c r="K23" s="4">
        <f>IF(H4=0,"",POWER($K4/H4, 1/3)-1)</f>
        <v>0.28042457369858309</v>
      </c>
      <c r="L23" s="4">
        <f>IF(ISERROR(MAX(IF(J4=0,"",(K4-J4)/J4),IF(K4=0,"",(L4-K4)/K4))),"",MAX(IF(J4=0,"",(K4-J4)/J4),IF(K4=0,"",(L4-K4)/K4)))</f>
        <v>0.25016540955405586</v>
      </c>
      <c r="M23" s="3">
        <f>MAX(K23:L23)</f>
        <v>0.28042457369858309</v>
      </c>
      <c r="N23" s="3">
        <f>MIN(H23:L23)</f>
        <v>0.20512491239073927</v>
      </c>
    </row>
    <row r="24" spans="1:14" x14ac:dyDescent="0.25">
      <c r="G24" t="s">
        <v>1</v>
      </c>
      <c r="H24" s="4">
        <f>IF(SUM(B4:$K$4)=0,"",SUMPRODUCT(B19:$K$19,B4:$K$4)/SUM(B4:$K$4))</f>
        <v>0.10259366992576283</v>
      </c>
      <c r="I24" s="4">
        <f>IF(SUM(E4:$K$4)=0,"",SUMPRODUCT(E19:$K$19,E4:$K$4)/SUM(E4:$K$4))</f>
        <v>0.10433437863051223</v>
      </c>
      <c r="J24" s="4">
        <f>IF(SUM(G4:$K$4)=0,"",SUMPRODUCT(G19:$K$19,G4:$K$4)/SUM(G4:$K$4))</f>
        <v>0.10336298739126572</v>
      </c>
      <c r="K24" s="4">
        <f>IF(SUM(I4:$K$4)=0, "", SUMPRODUCT(I19:$K$19,I4:$K$4)/SUM(I4:$K$4))</f>
        <v>0.10431581369358708</v>
      </c>
      <c r="L24" s="4">
        <f>L19</f>
        <v>0.10525271235776661</v>
      </c>
      <c r="M24" s="3">
        <f>MAX(K24:L24)</f>
        <v>0.10525271235776661</v>
      </c>
      <c r="N24" s="3">
        <f>MIN(H24:L24)</f>
        <v>0.10259366992576283</v>
      </c>
    </row>
    <row r="25" spans="1:14" x14ac:dyDescent="0.25">
      <c r="G25" t="s">
        <v>0</v>
      </c>
      <c r="H25" s="2">
        <f>IF(ISERROR(AVERAGEIF(B14:$L14,"&gt;0")),"",AVERAGEIF(B14:$L14,"&gt;0"))</f>
        <v>79.468439765977479</v>
      </c>
      <c r="I25" s="2">
        <f>IF(ISERROR(AVERAGEIF(E14:$L14,"&gt;0")),"",AVERAGEIF(E14:$L14,"&gt;0"))</f>
        <v>87.223649804974585</v>
      </c>
      <c r="J25" s="2">
        <f>IF(ISERROR(AVERAGEIF(G14:$L14,"&gt;0")),"",AVERAGEIF(G14:$L14,"&gt;0"))</f>
        <v>95.061305196643204</v>
      </c>
      <c r="K25" s="2">
        <f>IF(ISERROR(AVERAGEIF(I14:$L14,"&gt;0")),"",AVERAGEIF(I14:$L14,"&gt;0"))</f>
        <v>81.147233753909674</v>
      </c>
      <c r="L25" s="2">
        <f>L14</f>
        <v>77.844280318925726</v>
      </c>
      <c r="M25" s="1">
        <f>MAX(K25:L25)</f>
        <v>81.147233753909674</v>
      </c>
      <c r="N25" s="1">
        <f>MIN(H25:L25)</f>
        <v>77.844280318925726</v>
      </c>
    </row>
  </sheetData>
  <hyperlinks>
    <hyperlink ref="M1" r:id="rId1" xr:uid="{01B9C0ED-CF72-4FDA-AF93-5D5F74FF2C21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9201-94EC-45CB-B85D-D36434208C86}">
  <sheetPr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5" customFormat="1" x14ac:dyDescent="0.25">
      <c r="A1" s="5" t="str">
        <f>'Profit &amp; Loss '!A1</f>
        <v>TITAN COMPANY LTD</v>
      </c>
      <c r="E1" t="str">
        <f>UPDATE</f>
        <v/>
      </c>
      <c r="G1"/>
      <c r="J1" s="5" t="s">
        <v>29</v>
      </c>
    </row>
    <row r="2" spans="1:11" x14ac:dyDescent="0.25">
      <c r="G2" s="5"/>
      <c r="H2" s="5"/>
    </row>
    <row r="3" spans="1:11" x14ac:dyDescent="0.25">
      <c r="A3" s="8" t="s">
        <v>28</v>
      </c>
      <c r="B3" s="7">
        <f>'Data Sheet'!B56</f>
        <v>42460</v>
      </c>
      <c r="C3" s="7">
        <f>'Data Sheet'!C56</f>
        <v>42825</v>
      </c>
      <c r="D3" s="7">
        <f>'Data Sheet'!D56</f>
        <v>43190</v>
      </c>
      <c r="E3" s="7">
        <f>'Data Sheet'!E56</f>
        <v>43555</v>
      </c>
      <c r="F3" s="7">
        <f>'Data Sheet'!F56</f>
        <v>43921</v>
      </c>
      <c r="G3" s="7">
        <f>'Data Sheet'!G56</f>
        <v>44286</v>
      </c>
      <c r="H3" s="7">
        <f>'Data Sheet'!H56</f>
        <v>44651</v>
      </c>
      <c r="I3" s="7">
        <f>'Data Sheet'!I56</f>
        <v>45016</v>
      </c>
      <c r="J3" s="7">
        <f>'Data Sheet'!J56</f>
        <v>45382</v>
      </c>
      <c r="K3" s="7">
        <f>'Data Sheet'!K56</f>
        <v>45747</v>
      </c>
    </row>
    <row r="4" spans="1:11" x14ac:dyDescent="0.25">
      <c r="A4" t="s">
        <v>45</v>
      </c>
      <c r="B4" s="15">
        <f>'Data Sheet'!B57</f>
        <v>88.78</v>
      </c>
      <c r="C4" s="15">
        <f>'Data Sheet'!C57</f>
        <v>88.78</v>
      </c>
      <c r="D4" s="15">
        <f>'Data Sheet'!D57</f>
        <v>88.78</v>
      </c>
      <c r="E4" s="15">
        <f>'Data Sheet'!E57</f>
        <v>88.78</v>
      </c>
      <c r="F4" s="15">
        <f>'Data Sheet'!F57</f>
        <v>89</v>
      </c>
      <c r="G4" s="15">
        <f>'Data Sheet'!G57</f>
        <v>89</v>
      </c>
      <c r="H4" s="15">
        <f>'Data Sheet'!H57</f>
        <v>89</v>
      </c>
      <c r="I4" s="15">
        <f>'Data Sheet'!I57</f>
        <v>89</v>
      </c>
      <c r="J4" s="15">
        <f>'Data Sheet'!J57</f>
        <v>89</v>
      </c>
      <c r="K4" s="15">
        <f>'Data Sheet'!K57</f>
        <v>89</v>
      </c>
    </row>
    <row r="5" spans="1:11" x14ac:dyDescent="0.25">
      <c r="A5" t="s">
        <v>44</v>
      </c>
      <c r="B5" s="15">
        <f>'Data Sheet'!B58</f>
        <v>3417.5</v>
      </c>
      <c r="C5" s="15">
        <f>'Data Sheet'!C58</f>
        <v>4143.6000000000004</v>
      </c>
      <c r="D5" s="15">
        <f>'Data Sheet'!D58</f>
        <v>5001.1000000000004</v>
      </c>
      <c r="E5" s="15">
        <f>'Data Sheet'!E58</f>
        <v>5981.37</v>
      </c>
      <c r="F5" s="15">
        <f>'Data Sheet'!F58</f>
        <v>6580</v>
      </c>
      <c r="G5" s="15">
        <f>'Data Sheet'!G58</f>
        <v>7408</v>
      </c>
      <c r="H5" s="15">
        <f>'Data Sheet'!H58</f>
        <v>9214</v>
      </c>
      <c r="I5" s="15">
        <f>'Data Sheet'!I58</f>
        <v>11762</v>
      </c>
      <c r="J5" s="15">
        <f>'Data Sheet'!J58</f>
        <v>9304</v>
      </c>
      <c r="K5" s="15">
        <f>'Data Sheet'!K58</f>
        <v>11535</v>
      </c>
    </row>
    <row r="6" spans="1:11" x14ac:dyDescent="0.25">
      <c r="A6" t="s">
        <v>43</v>
      </c>
      <c r="B6" s="15">
        <f>'Data Sheet'!B59</f>
        <v>113.05</v>
      </c>
      <c r="C6" s="15">
        <f>'Data Sheet'!C59</f>
        <v>1882.43</v>
      </c>
      <c r="D6" s="15">
        <f>'Data Sheet'!D59</f>
        <v>1691.01</v>
      </c>
      <c r="E6" s="15">
        <f>'Data Sheet'!E59</f>
        <v>2392.98</v>
      </c>
      <c r="F6" s="15">
        <f>'Data Sheet'!F59</f>
        <v>3562</v>
      </c>
      <c r="G6" s="15">
        <f>'Data Sheet'!G59</f>
        <v>5638</v>
      </c>
      <c r="H6" s="15">
        <f>'Data Sheet'!H59</f>
        <v>7275</v>
      </c>
      <c r="I6" s="15">
        <f>'Data Sheet'!I59</f>
        <v>9367</v>
      </c>
      <c r="J6" s="15">
        <f>'Data Sheet'!J59</f>
        <v>15528</v>
      </c>
      <c r="K6" s="15">
        <f>'Data Sheet'!K59</f>
        <v>20777</v>
      </c>
    </row>
    <row r="7" spans="1:11" x14ac:dyDescent="0.25">
      <c r="A7" t="s">
        <v>42</v>
      </c>
      <c r="B7" s="15">
        <f>'Data Sheet'!B60</f>
        <v>2722.58</v>
      </c>
      <c r="C7" s="15">
        <f>'Data Sheet'!C60</f>
        <v>2292.7600000000002</v>
      </c>
      <c r="D7" s="15">
        <f>'Data Sheet'!D60</f>
        <v>2740.15</v>
      </c>
      <c r="E7" s="15">
        <f>'Data Sheet'!E60</f>
        <v>3246.71</v>
      </c>
      <c r="F7" s="15">
        <f>'Data Sheet'!F60</f>
        <v>3313</v>
      </c>
      <c r="G7" s="15">
        <f>'Data Sheet'!G60</f>
        <v>3309</v>
      </c>
      <c r="H7" s="15">
        <f>'Data Sheet'!H60</f>
        <v>4610</v>
      </c>
      <c r="I7" s="15">
        <f>'Data Sheet'!I60</f>
        <v>5802</v>
      </c>
      <c r="J7" s="15">
        <f>'Data Sheet'!J60</f>
        <v>6626</v>
      </c>
      <c r="K7" s="15">
        <f>'Data Sheet'!K60</f>
        <v>8244</v>
      </c>
    </row>
    <row r="8" spans="1:11" s="5" customFormat="1" x14ac:dyDescent="0.25">
      <c r="A8" s="5" t="s">
        <v>37</v>
      </c>
      <c r="B8" s="16">
        <f>'Data Sheet'!B61</f>
        <v>6341.91</v>
      </c>
      <c r="C8" s="16">
        <f>'Data Sheet'!C61</f>
        <v>8407.57</v>
      </c>
      <c r="D8" s="16">
        <f>'Data Sheet'!D61</f>
        <v>9521.0400000000009</v>
      </c>
      <c r="E8" s="16">
        <f>'Data Sheet'!E61</f>
        <v>11709.84</v>
      </c>
      <c r="F8" s="16">
        <f>'Data Sheet'!F61</f>
        <v>13544</v>
      </c>
      <c r="G8" s="16">
        <f>'Data Sheet'!G61</f>
        <v>16444</v>
      </c>
      <c r="H8" s="16">
        <f>'Data Sheet'!H61</f>
        <v>21188</v>
      </c>
      <c r="I8" s="16">
        <f>'Data Sheet'!I61</f>
        <v>27020</v>
      </c>
      <c r="J8" s="16">
        <f>'Data Sheet'!J61</f>
        <v>31547</v>
      </c>
      <c r="K8" s="16">
        <f>'Data Sheet'!K61</f>
        <v>40645</v>
      </c>
    </row>
    <row r="9" spans="1:11" s="5" customFormat="1" x14ac:dyDescent="0.25"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25">
      <c r="A10" t="s">
        <v>41</v>
      </c>
      <c r="B10" s="15">
        <f>'Data Sheet'!B62</f>
        <v>770.54</v>
      </c>
      <c r="C10" s="15">
        <f>'Data Sheet'!C62</f>
        <v>1188.72</v>
      </c>
      <c r="D10" s="15">
        <f>'Data Sheet'!D62</f>
        <v>1473.81</v>
      </c>
      <c r="E10" s="15">
        <f>'Data Sheet'!E62</f>
        <v>1566.63</v>
      </c>
      <c r="F10" s="15">
        <f>'Data Sheet'!F62</f>
        <v>2633</v>
      </c>
      <c r="G10" s="15">
        <f>'Data Sheet'!G62</f>
        <v>2523</v>
      </c>
      <c r="H10" s="15">
        <f>'Data Sheet'!H62</f>
        <v>2544</v>
      </c>
      <c r="I10" s="15">
        <f>'Data Sheet'!I62</f>
        <v>2998</v>
      </c>
      <c r="J10" s="15">
        <f>'Data Sheet'!J62</f>
        <v>3709</v>
      </c>
      <c r="K10" s="15">
        <f>'Data Sheet'!K62</f>
        <v>4062</v>
      </c>
    </row>
    <row r="11" spans="1:11" x14ac:dyDescent="0.25">
      <c r="A11" t="s">
        <v>40</v>
      </c>
      <c r="B11" s="15">
        <f>'Data Sheet'!B63</f>
        <v>106.71</v>
      </c>
      <c r="C11" s="15">
        <f>'Data Sheet'!C63</f>
        <v>152.07</v>
      </c>
      <c r="D11" s="15">
        <f>'Data Sheet'!D63</f>
        <v>43.37</v>
      </c>
      <c r="E11" s="15">
        <f>'Data Sheet'!E63</f>
        <v>31.77</v>
      </c>
      <c r="F11" s="15">
        <f>'Data Sheet'!F63</f>
        <v>18</v>
      </c>
      <c r="G11" s="15">
        <f>'Data Sheet'!G63</f>
        <v>32</v>
      </c>
      <c r="H11" s="15">
        <f>'Data Sheet'!H63</f>
        <v>85</v>
      </c>
      <c r="I11" s="15">
        <f>'Data Sheet'!I63</f>
        <v>144</v>
      </c>
      <c r="J11" s="15">
        <f>'Data Sheet'!J63</f>
        <v>97</v>
      </c>
      <c r="K11" s="15">
        <f>'Data Sheet'!K63</f>
        <v>105</v>
      </c>
    </row>
    <row r="12" spans="1:11" x14ac:dyDescent="0.25">
      <c r="A12" t="s">
        <v>39</v>
      </c>
      <c r="B12" s="15">
        <f>'Data Sheet'!B64</f>
        <v>30.41</v>
      </c>
      <c r="C12" s="15">
        <f>'Data Sheet'!C64</f>
        <v>430.73</v>
      </c>
      <c r="D12" s="15">
        <f>'Data Sheet'!D64</f>
        <v>35.99</v>
      </c>
      <c r="E12" s="15">
        <f>'Data Sheet'!E64</f>
        <v>108.42</v>
      </c>
      <c r="F12" s="15">
        <f>'Data Sheet'!F64</f>
        <v>158</v>
      </c>
      <c r="G12" s="15">
        <f>'Data Sheet'!G64</f>
        <v>2824</v>
      </c>
      <c r="H12" s="15">
        <f>'Data Sheet'!H64</f>
        <v>294</v>
      </c>
      <c r="I12" s="15">
        <f>'Data Sheet'!I64</f>
        <v>2515</v>
      </c>
      <c r="J12" s="15">
        <f>'Data Sheet'!J64</f>
        <v>2345</v>
      </c>
      <c r="K12" s="15">
        <f>'Data Sheet'!K64</f>
        <v>1988</v>
      </c>
    </row>
    <row r="13" spans="1:11" x14ac:dyDescent="0.25">
      <c r="A13" t="s">
        <v>38</v>
      </c>
      <c r="B13" s="15">
        <f>'Data Sheet'!B65</f>
        <v>5434.25</v>
      </c>
      <c r="C13" s="15">
        <f>'Data Sheet'!C65</f>
        <v>6636.05</v>
      </c>
      <c r="D13" s="15">
        <f>'Data Sheet'!D65</f>
        <v>7967.87</v>
      </c>
      <c r="E13" s="15">
        <f>'Data Sheet'!E65</f>
        <v>10003.02</v>
      </c>
      <c r="F13" s="15">
        <f>'Data Sheet'!F65</f>
        <v>10735</v>
      </c>
      <c r="G13" s="15">
        <f>'Data Sheet'!G65</f>
        <v>11065</v>
      </c>
      <c r="H13" s="15">
        <f>'Data Sheet'!H65</f>
        <v>18265</v>
      </c>
      <c r="I13" s="15">
        <f>'Data Sheet'!I65</f>
        <v>21363</v>
      </c>
      <c r="J13" s="15">
        <f>'Data Sheet'!J65</f>
        <v>25396</v>
      </c>
      <c r="K13" s="15">
        <f>'Data Sheet'!K65</f>
        <v>34490</v>
      </c>
    </row>
    <row r="14" spans="1:11" s="5" customFormat="1" x14ac:dyDescent="0.25">
      <c r="A14" s="5" t="s">
        <v>37</v>
      </c>
      <c r="B14" s="15">
        <f>'Data Sheet'!B66</f>
        <v>6341.91</v>
      </c>
      <c r="C14" s="15">
        <f>'Data Sheet'!C66</f>
        <v>8407.57</v>
      </c>
      <c r="D14" s="15">
        <f>'Data Sheet'!D66</f>
        <v>9521.0400000000009</v>
      </c>
      <c r="E14" s="15">
        <f>'Data Sheet'!E66</f>
        <v>11709.84</v>
      </c>
      <c r="F14" s="15">
        <f>'Data Sheet'!F66</f>
        <v>13544</v>
      </c>
      <c r="G14" s="15">
        <f>'Data Sheet'!G66</f>
        <v>16444</v>
      </c>
      <c r="H14" s="15">
        <f>'Data Sheet'!H66</f>
        <v>21188</v>
      </c>
      <c r="I14" s="15">
        <f>'Data Sheet'!I66</f>
        <v>27020</v>
      </c>
      <c r="J14" s="15">
        <f>'Data Sheet'!J66</f>
        <v>31547</v>
      </c>
      <c r="K14" s="15">
        <f>'Data Sheet'!K66</f>
        <v>40645</v>
      </c>
    </row>
    <row r="15" spans="1:11" x14ac:dyDescent="0.25"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t="s">
        <v>36</v>
      </c>
      <c r="B16" s="14">
        <f t="shared" ref="B16:K16" si="0">B13-B7</f>
        <v>2711.67</v>
      </c>
      <c r="C16" s="14">
        <f t="shared" si="0"/>
        <v>4343.29</v>
      </c>
      <c r="D16" s="14">
        <f t="shared" si="0"/>
        <v>5227.7199999999993</v>
      </c>
      <c r="E16" s="14">
        <f t="shared" si="0"/>
        <v>6756.31</v>
      </c>
      <c r="F16" s="14">
        <f t="shared" si="0"/>
        <v>7422</v>
      </c>
      <c r="G16" s="14">
        <f t="shared" si="0"/>
        <v>7756</v>
      </c>
      <c r="H16" s="14">
        <f t="shared" si="0"/>
        <v>13655</v>
      </c>
      <c r="I16" s="14">
        <f t="shared" si="0"/>
        <v>15561</v>
      </c>
      <c r="J16" s="14">
        <f t="shared" si="0"/>
        <v>18770</v>
      </c>
      <c r="K16" s="14">
        <f t="shared" si="0"/>
        <v>26246</v>
      </c>
    </row>
    <row r="17" spans="1:11" x14ac:dyDescent="0.25">
      <c r="A17" t="s">
        <v>35</v>
      </c>
      <c r="B17" s="14">
        <f>'Data Sheet'!B67</f>
        <v>192.5</v>
      </c>
      <c r="C17" s="14">
        <f>'Data Sheet'!C67</f>
        <v>207.6</v>
      </c>
      <c r="D17" s="14">
        <f>'Data Sheet'!D67</f>
        <v>295.69</v>
      </c>
      <c r="E17" s="14">
        <f>'Data Sheet'!E67</f>
        <v>420.45</v>
      </c>
      <c r="F17" s="14">
        <f>'Data Sheet'!F67</f>
        <v>312</v>
      </c>
      <c r="G17" s="14">
        <f>'Data Sheet'!G67</f>
        <v>366</v>
      </c>
      <c r="H17" s="14">
        <f>'Data Sheet'!H67</f>
        <v>565</v>
      </c>
      <c r="I17" s="14">
        <f>'Data Sheet'!I67</f>
        <v>674</v>
      </c>
      <c r="J17" s="14">
        <f>'Data Sheet'!J67</f>
        <v>1018</v>
      </c>
      <c r="K17" s="14">
        <f>'Data Sheet'!K67</f>
        <v>1068</v>
      </c>
    </row>
    <row r="18" spans="1:11" x14ac:dyDescent="0.25">
      <c r="A18" t="s">
        <v>34</v>
      </c>
      <c r="B18" s="14">
        <f>'Data Sheet'!B68</f>
        <v>4447.1499999999996</v>
      </c>
      <c r="C18" s="14">
        <f>'Data Sheet'!C68</f>
        <v>4925.74</v>
      </c>
      <c r="D18" s="14">
        <f>'Data Sheet'!D68</f>
        <v>5924.84</v>
      </c>
      <c r="E18" s="14">
        <f>'Data Sheet'!E68</f>
        <v>7038.82</v>
      </c>
      <c r="F18" s="14">
        <f>'Data Sheet'!F68</f>
        <v>8103</v>
      </c>
      <c r="G18" s="14">
        <f>'Data Sheet'!G68</f>
        <v>8408</v>
      </c>
      <c r="H18" s="14">
        <f>'Data Sheet'!H68</f>
        <v>13609</v>
      </c>
      <c r="I18" s="14">
        <f>'Data Sheet'!I68</f>
        <v>16584</v>
      </c>
      <c r="J18" s="14">
        <f>'Data Sheet'!J68</f>
        <v>19051</v>
      </c>
      <c r="K18" s="14">
        <f>'Data Sheet'!K68</f>
        <v>28184</v>
      </c>
    </row>
    <row r="20" spans="1:11" x14ac:dyDescent="0.25">
      <c r="A20" t="s">
        <v>33</v>
      </c>
      <c r="B20" s="14">
        <f>IF('Profit &amp; Loss '!B4&gt;0,'Balance Sheet'!B17/('Profit &amp; Loss '!B4/365),0)</f>
        <v>6.2312154517293097</v>
      </c>
      <c r="C20" s="14">
        <f>IF('Profit &amp; Loss '!C4&gt;0,'Balance Sheet'!C17/('Profit &amp; Loss '!C4/365),0)</f>
        <v>5.714121966724556</v>
      </c>
      <c r="D20" s="14">
        <f>IF('Profit &amp; Loss '!D4&gt;0,'Balance Sheet'!D17/('Profit &amp; Loss '!D4/365),0)</f>
        <v>6.6953095484612994</v>
      </c>
      <c r="E20" s="14">
        <f>IF('Profit &amp; Loss '!E4&gt;0,'Balance Sheet'!E17/('Profit &amp; Loss '!E4/365),0)</f>
        <v>7.7591371851887798</v>
      </c>
      <c r="F20" s="14">
        <f>IF('Profit &amp; Loss '!F4&gt;0,'Balance Sheet'!F17/('Profit &amp; Loss '!F4/365),0)</f>
        <v>5.4094622838685158</v>
      </c>
      <c r="G20" s="14">
        <f>IF('Profit &amp; Loss '!G4&gt;0,'Balance Sheet'!G17/('Profit &amp; Loss '!G4/365),0)</f>
        <v>6.172149325448161</v>
      </c>
      <c r="H20" s="14">
        <f>IF('Profit &amp; Loss '!H4&gt;0,'Balance Sheet'!H17/('Profit &amp; Loss '!H4/365),0)</f>
        <v>7.160838918017987</v>
      </c>
      <c r="I20" s="14">
        <f>IF('Profit &amp; Loss '!I4&gt;0,'Balance Sheet'!I17/('Profit &amp; Loss '!I4/365),0)</f>
        <v>6.0630930375847196</v>
      </c>
      <c r="J20" s="14">
        <f>IF('Profit &amp; Loss '!J4&gt;0,'Balance Sheet'!J17/('Profit &amp; Loss '!J4/365),0)</f>
        <v>7.2737060527758199</v>
      </c>
      <c r="K20" s="14">
        <f>IF('Profit &amp; Loss '!K4&gt;0,'Balance Sheet'!K17/('Profit &amp; Loss '!K4/365),0)</f>
        <v>6.4479952362048429</v>
      </c>
    </row>
    <row r="21" spans="1:11" x14ac:dyDescent="0.25">
      <c r="A21" t="s">
        <v>32</v>
      </c>
      <c r="B21" s="14">
        <f>IF('Balance Sheet'!B18&gt;0,'Profit &amp; Loss '!B4/'Balance Sheet'!B18,0)</f>
        <v>2.5355317450502008</v>
      </c>
      <c r="C21" s="14">
        <f>IF('Balance Sheet'!C18&gt;0,'Profit &amp; Loss '!C4/'Balance Sheet'!C18,0)</f>
        <v>2.6921498089627143</v>
      </c>
      <c r="D21" s="14">
        <f>IF('Balance Sheet'!D18&gt;0,'Profit &amp; Loss '!D4/'Balance Sheet'!D18,0)</f>
        <v>2.7207097575630734</v>
      </c>
      <c r="E21" s="14">
        <f>IF('Balance Sheet'!E18&gt;0,'Profit &amp; Loss '!E4/'Balance Sheet'!E18,0)</f>
        <v>2.8099198445193942</v>
      </c>
      <c r="F21" s="14">
        <f>IF('Balance Sheet'!F18&gt;0,'Profit &amp; Loss '!F4/'Balance Sheet'!F18,0)</f>
        <v>2.59805010489942</v>
      </c>
      <c r="G21" s="14">
        <f>IF('Balance Sheet'!G18&gt;0,'Profit &amp; Loss '!G4/'Balance Sheet'!G18,0)</f>
        <v>2.5742150333016176</v>
      </c>
      <c r="H21" s="14">
        <f>IF('Balance Sheet'!H18&gt;0,'Profit &amp; Loss '!H4/'Balance Sheet'!H18,0)</f>
        <v>2.1161731207289294</v>
      </c>
      <c r="I21" s="14">
        <f>IF('Balance Sheet'!I18&gt;0,'Profit &amp; Loss '!I4/'Balance Sheet'!I18,0)</f>
        <v>2.4466353111432708</v>
      </c>
      <c r="J21" s="14">
        <f>IF('Balance Sheet'!J18&gt;0,'Profit &amp; Loss '!J4/'Balance Sheet'!J18,0)</f>
        <v>2.6814340454569314</v>
      </c>
      <c r="K21" s="14">
        <f>IF('Balance Sheet'!K18&gt;0,'Profit &amp; Loss '!K4/'Balance Sheet'!K18,0)</f>
        <v>2.1450468350837353</v>
      </c>
    </row>
    <row r="23" spans="1:11" s="5" customFormat="1" x14ac:dyDescent="0.25">
      <c r="A23" s="5" t="s">
        <v>31</v>
      </c>
      <c r="B23" s="13">
        <f>IF(SUM('Balance Sheet'!B4:B5)&gt;0,'Profit &amp; Loss '!B12/SUM('Balance Sheet'!B4:B5),"")</f>
        <v>0.1923748246004312</v>
      </c>
      <c r="C23" s="13">
        <f>IF(SUM('Balance Sheet'!C4:C5)&gt;0,'Profit &amp; Loss '!C12/SUM('Balance Sheet'!C4:C5),"")</f>
        <v>0.16810163548641663</v>
      </c>
      <c r="D23" s="13">
        <f>IF(SUM('Balance Sheet'!D4:D5)&gt;0,'Profit &amp; Loss '!D12/SUM('Balance Sheet'!D4:D5),"")</f>
        <v>0.22202684542661122</v>
      </c>
      <c r="E23" s="13">
        <f>IF(SUM('Balance Sheet'!E4:E5)&gt;0,'Profit &amp; Loss '!E12/SUM('Balance Sheet'!E4:E5),"")</f>
        <v>0.23132047807714803</v>
      </c>
      <c r="F23" s="13">
        <f>IF(SUM('Balance Sheet'!F4:F5)&gt;0,'Profit &amp; Loss '!F12/SUM('Balance Sheet'!F4:F5),"")</f>
        <v>0.22507122507122507</v>
      </c>
      <c r="G23" s="13">
        <f>IF(SUM('Balance Sheet'!G4:G5)&gt;0,'Profit &amp; Loss '!G12/SUM('Balance Sheet'!G4:G5),"")</f>
        <v>0.12978524743230627</v>
      </c>
      <c r="H23" s="13">
        <f>IF(SUM('Balance Sheet'!H4:H5)&gt;0,'Profit &amp; Loss '!H12/SUM('Balance Sheet'!H4:H5),"")</f>
        <v>0.23358056540900785</v>
      </c>
      <c r="I23" s="13">
        <f>IF(SUM('Balance Sheet'!I4:I5)&gt;0,'Profit &amp; Loss '!I12/SUM('Balance Sheet'!I4:I5),"")</f>
        <v>0.27423846088937642</v>
      </c>
      <c r="J23" s="13">
        <f>IF(SUM('Balance Sheet'!J4:J5)&gt;0,'Profit &amp; Loss '!J12/SUM('Balance Sheet'!J4:J5),"")</f>
        <v>0.37219205791546894</v>
      </c>
      <c r="K23" s="13">
        <f>IF(SUM('Balance Sheet'!K4:K5)&gt;0,'Profit &amp; Loss '!K12/SUM('Balance Sheet'!K4:K5),"")</f>
        <v>0.28707845836200963</v>
      </c>
    </row>
    <row r="24" spans="1:11" s="5" customFormat="1" x14ac:dyDescent="0.25">
      <c r="A24" s="5" t="s">
        <v>30</v>
      </c>
      <c r="B24" s="13"/>
      <c r="C24" s="13">
        <f>IF((B4+B5+B6+C4+C5+C6)&gt;0,('Profit &amp; Loss '!C10+'Profit &amp; Loss '!C9)*2/(B4+B5+B6+C4+C5+C6),"")</f>
        <v>0.20772045604439629</v>
      </c>
      <c r="D24" s="13">
        <f>IF((C4+C5+C6+D4+D5+D6)&gt;0,('Profit &amp; Loss '!D10+'Profit &amp; Loss '!D9)*2/(C4+C5+C6+D4+D5+D6),"")</f>
        <v>0.24546166551641244</v>
      </c>
      <c r="E24" s="13">
        <f>IF((D4+D5+D6+E4+E5+E6)&gt;0,('Profit &amp; Loss '!E10+'Profit &amp; Loss '!E9)*2/(D4+D5+D6+E4+E5+E6),"")</f>
        <v>0.26363518284546988</v>
      </c>
      <c r="F24" s="13">
        <f>IF((E4+E5+E6+F4+F5+F6)&gt;0,('Profit &amp; Loss '!F10+'Profit &amp; Loss '!F9)*2/(E4+E5+E6+F4+F5+F6),"")</f>
        <v>0.24264301146937572</v>
      </c>
      <c r="G24" s="13">
        <f>IF((F4+F5+F6+G4+G5+G6)&gt;0,('Profit &amp; Loss '!G10+'Profit &amp; Loss '!G9)*2/(F4+F5+F6+G4+G5+G6),"")</f>
        <v>0.13095951382350424</v>
      </c>
      <c r="H24" s="13">
        <f>IF((G4+G5+G6+H4+H5+H6)&gt;0,('Profit &amp; Loss '!H10+'Profit &amp; Loss '!H9)*2/(G4+G5+G6+H4+H5+H6),"")</f>
        <v>0.21014370814121766</v>
      </c>
      <c r="I24" s="13">
        <f>IF((H4+H5+H6+I4+I5+I6)&gt;0,('Profit &amp; Loss '!I10+'Profit &amp; Loss '!I9)*2/(H4+H5+H6+I4+I5+I6),"")</f>
        <v>0.2511906021801249</v>
      </c>
      <c r="J24" s="13">
        <f>IF((I4+I5+I6+J4+J5+J6)&gt;0,('Profit &amp; Loss '!J10+'Profit &amp; Loss '!J9)*2/(I4+I5+I6+J4+J5+J6),"")</f>
        <v>0.22722642449988079</v>
      </c>
      <c r="K24" s="13">
        <f>IF((J4+J5+J6+K4+K5+K6)&gt;0,('Profit &amp; Loss '!K10+'Profit &amp; Loss '!K9)*2/(J4+J5+J6+K4+K5+K6),"")</f>
        <v>0.19147971110568368</v>
      </c>
    </row>
  </sheetData>
  <hyperlinks>
    <hyperlink ref="J1" r:id="rId1" xr:uid="{C0BA0E73-E735-4826-B835-B90E4A0044F8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5F37-0455-4063-8E33-ADB50F60C8EA}">
  <sheetPr>
    <pageSetUpPr fitToPage="1"/>
  </sheetPr>
  <dimension ref="A1:K8"/>
  <sheetViews>
    <sheetView zoomScale="150" zoomScaleNormal="15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5" customFormat="1" x14ac:dyDescent="0.25">
      <c r="A1" s="5" t="str">
        <f>'Balance Sheet'!A1</f>
        <v>TITAN COMPANY LTD</v>
      </c>
      <c r="E1" t="str">
        <f>UPDATE</f>
        <v/>
      </c>
      <c r="F1"/>
      <c r="J1" s="5" t="s">
        <v>29</v>
      </c>
    </row>
    <row r="3" spans="1:11" s="5" customFormat="1" x14ac:dyDescent="0.25">
      <c r="A3" s="8" t="s">
        <v>28</v>
      </c>
      <c r="B3" s="7">
        <f>'Data Sheet'!B81</f>
        <v>42460</v>
      </c>
      <c r="C3" s="7">
        <f>'Data Sheet'!C81</f>
        <v>42825</v>
      </c>
      <c r="D3" s="7">
        <f>'Data Sheet'!D81</f>
        <v>43190</v>
      </c>
      <c r="E3" s="7">
        <f>'Data Sheet'!E81</f>
        <v>43555</v>
      </c>
      <c r="F3" s="7">
        <f>'Data Sheet'!F81</f>
        <v>43921</v>
      </c>
      <c r="G3" s="7">
        <f>'Data Sheet'!G81</f>
        <v>44286</v>
      </c>
      <c r="H3" s="7">
        <f>'Data Sheet'!H81</f>
        <v>44651</v>
      </c>
      <c r="I3" s="7">
        <f>'Data Sheet'!I81</f>
        <v>45016</v>
      </c>
      <c r="J3" s="7">
        <f>'Data Sheet'!J81</f>
        <v>45382</v>
      </c>
      <c r="K3" s="7">
        <f>'Data Sheet'!K81</f>
        <v>45747</v>
      </c>
    </row>
    <row r="4" spans="1:11" s="5" customFormat="1" x14ac:dyDescent="0.25">
      <c r="A4" s="5" t="s">
        <v>49</v>
      </c>
      <c r="B4" s="1">
        <f>'Data Sheet'!B82</f>
        <v>576.09</v>
      </c>
      <c r="C4" s="1">
        <f>'Data Sheet'!C82</f>
        <v>1712.3</v>
      </c>
      <c r="D4" s="1">
        <f>'Data Sheet'!D82</f>
        <v>-51.12</v>
      </c>
      <c r="E4" s="1">
        <f>'Data Sheet'!E82</f>
        <v>1242.92</v>
      </c>
      <c r="F4" s="1">
        <f>'Data Sheet'!F82</f>
        <v>-348</v>
      </c>
      <c r="G4" s="1">
        <f>'Data Sheet'!G82</f>
        <v>4139</v>
      </c>
      <c r="H4" s="1">
        <f>'Data Sheet'!H82</f>
        <v>-724</v>
      </c>
      <c r="I4" s="1">
        <f>'Data Sheet'!I82</f>
        <v>1370</v>
      </c>
      <c r="J4" s="1">
        <f>'Data Sheet'!J82</f>
        <v>1695</v>
      </c>
      <c r="K4" s="1">
        <f>'Data Sheet'!K82</f>
        <v>-541</v>
      </c>
    </row>
    <row r="5" spans="1:11" x14ac:dyDescent="0.25">
      <c r="A5" t="s">
        <v>48</v>
      </c>
      <c r="B5" s="2">
        <f>'Data Sheet'!B83</f>
        <v>-158.79</v>
      </c>
      <c r="C5" s="2">
        <f>'Data Sheet'!C83</f>
        <v>-953.15</v>
      </c>
      <c r="D5" s="2">
        <f>'Data Sheet'!D83</f>
        <v>97.62</v>
      </c>
      <c r="E5" s="2">
        <f>'Data Sheet'!E83</f>
        <v>-796.61</v>
      </c>
      <c r="F5" s="2">
        <f>'Data Sheet'!F83</f>
        <v>235</v>
      </c>
      <c r="G5" s="2">
        <f>'Data Sheet'!G83</f>
        <v>-2799</v>
      </c>
      <c r="H5" s="2">
        <f>'Data Sheet'!H83</f>
        <v>1165</v>
      </c>
      <c r="I5" s="2">
        <f>'Data Sheet'!I83</f>
        <v>-1814</v>
      </c>
      <c r="J5" s="2">
        <f>'Data Sheet'!J83</f>
        <v>-189</v>
      </c>
      <c r="K5" s="2">
        <f>'Data Sheet'!K83</f>
        <v>546</v>
      </c>
    </row>
    <row r="6" spans="1:11" x14ac:dyDescent="0.25">
      <c r="A6" t="s">
        <v>47</v>
      </c>
      <c r="B6" s="2">
        <f>'Data Sheet'!B84</f>
        <v>-504.84</v>
      </c>
      <c r="C6" s="2">
        <f>'Data Sheet'!C84</f>
        <v>-165.6</v>
      </c>
      <c r="D6" s="2">
        <f>'Data Sheet'!D84</f>
        <v>-252.45</v>
      </c>
      <c r="E6" s="2">
        <f>'Data Sheet'!E84</f>
        <v>-488.83</v>
      </c>
      <c r="F6" s="2">
        <f>'Data Sheet'!F84</f>
        <v>-242</v>
      </c>
      <c r="G6" s="2">
        <f>'Data Sheet'!G84</f>
        <v>-1234</v>
      </c>
      <c r="H6" s="2">
        <f>'Data Sheet'!H84</f>
        <v>-403</v>
      </c>
      <c r="I6" s="2">
        <f>'Data Sheet'!I84</f>
        <v>457</v>
      </c>
      <c r="J6" s="2">
        <f>'Data Sheet'!J84</f>
        <v>-1329</v>
      </c>
      <c r="K6" s="2">
        <f>'Data Sheet'!K84</f>
        <v>-7</v>
      </c>
    </row>
    <row r="7" spans="1:11" s="5" customFormat="1" x14ac:dyDescent="0.25">
      <c r="A7" s="5" t="s">
        <v>46</v>
      </c>
      <c r="B7" s="1">
        <f>'Data Sheet'!B85</f>
        <v>-87.54</v>
      </c>
      <c r="C7" s="1">
        <f>'Data Sheet'!C85</f>
        <v>593.54999999999995</v>
      </c>
      <c r="D7" s="1">
        <f>'Data Sheet'!D85</f>
        <v>-205.95</v>
      </c>
      <c r="E7" s="1">
        <f>'Data Sheet'!E85</f>
        <v>-42.52</v>
      </c>
      <c r="F7" s="1">
        <f>'Data Sheet'!F85</f>
        <v>-355</v>
      </c>
      <c r="G7" s="1">
        <f>'Data Sheet'!G85</f>
        <v>106</v>
      </c>
      <c r="H7" s="1">
        <f>'Data Sheet'!H85</f>
        <v>38</v>
      </c>
      <c r="I7" s="1">
        <f>'Data Sheet'!I85</f>
        <v>13</v>
      </c>
      <c r="J7" s="1">
        <f>'Data Sheet'!J85</f>
        <v>177</v>
      </c>
      <c r="K7" s="1">
        <f>'Data Sheet'!K85</f>
        <v>-2</v>
      </c>
    </row>
    <row r="8" spans="1:11" x14ac:dyDescent="0.25">
      <c r="B8" s="2"/>
      <c r="C8" s="2"/>
      <c r="D8" s="2"/>
      <c r="E8" s="2"/>
      <c r="F8" s="2"/>
      <c r="G8" s="2"/>
      <c r="H8" s="2"/>
      <c r="I8" s="2"/>
      <c r="J8" s="2"/>
      <c r="K8" s="2"/>
    </row>
  </sheetData>
  <hyperlinks>
    <hyperlink ref="J1" r:id="rId1" xr:uid="{EFE62D06-3839-4EE0-8085-3E20E1EF8DA8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F899-231D-4A8D-8D71-B3FD3875A93E}">
  <sheetPr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5" customFormat="1" x14ac:dyDescent="0.25">
      <c r="A1" s="5" t="str">
        <f>'Profit &amp; Loss '!A1</f>
        <v>TITAN COMPANY LTD</v>
      </c>
      <c r="E1" t="str">
        <f>UPDATE</f>
        <v/>
      </c>
      <c r="J1" s="5" t="s">
        <v>29</v>
      </c>
    </row>
    <row r="3" spans="1:11" s="5" customFormat="1" x14ac:dyDescent="0.25">
      <c r="A3" s="8" t="s">
        <v>28</v>
      </c>
      <c r="B3" s="7">
        <f>'Data Sheet'!B41</f>
        <v>45199</v>
      </c>
      <c r="C3" s="7">
        <f>'Data Sheet'!C41</f>
        <v>45291</v>
      </c>
      <c r="D3" s="7">
        <f>'Data Sheet'!D41</f>
        <v>45382</v>
      </c>
      <c r="E3" s="7">
        <f>'Data Sheet'!E41</f>
        <v>45473</v>
      </c>
      <c r="F3" s="7">
        <f>'Data Sheet'!F41</f>
        <v>45565</v>
      </c>
      <c r="G3" s="7">
        <f>'Data Sheet'!G41</f>
        <v>45657</v>
      </c>
      <c r="H3" s="7">
        <f>'Data Sheet'!H41</f>
        <v>45747</v>
      </c>
      <c r="I3" s="7">
        <f>'Data Sheet'!I41</f>
        <v>45838</v>
      </c>
      <c r="J3" s="7">
        <f>'Data Sheet'!J41</f>
        <v>45930</v>
      </c>
      <c r="K3" s="7">
        <f>'Data Sheet'!K41</f>
        <v>46022</v>
      </c>
    </row>
    <row r="4" spans="1:11" s="5" customFormat="1" x14ac:dyDescent="0.25">
      <c r="A4" s="5" t="s">
        <v>24</v>
      </c>
      <c r="B4" s="1">
        <f>'Data Sheet'!B42</f>
        <v>12529</v>
      </c>
      <c r="C4" s="1">
        <f>'Data Sheet'!C42</f>
        <v>14164</v>
      </c>
      <c r="D4" s="1">
        <f>'Data Sheet'!D42</f>
        <v>12494</v>
      </c>
      <c r="E4" s="1">
        <f>'Data Sheet'!E42</f>
        <v>13266</v>
      </c>
      <c r="F4" s="1">
        <f>'Data Sheet'!F42</f>
        <v>14534</v>
      </c>
      <c r="G4" s="1">
        <f>'Data Sheet'!G42</f>
        <v>17740</v>
      </c>
      <c r="H4" s="1">
        <f>'Data Sheet'!H42</f>
        <v>14916</v>
      </c>
      <c r="I4" s="1">
        <f>'Data Sheet'!I42</f>
        <v>16523</v>
      </c>
      <c r="J4" s="1">
        <f>'Data Sheet'!J42</f>
        <v>18725</v>
      </c>
      <c r="K4" s="1">
        <f>'Data Sheet'!K42</f>
        <v>25416</v>
      </c>
    </row>
    <row r="5" spans="1:11" x14ac:dyDescent="0.25">
      <c r="A5" t="s">
        <v>23</v>
      </c>
      <c r="B5" s="2">
        <f>'Data Sheet'!B43</f>
        <v>11118</v>
      </c>
      <c r="C5" s="2">
        <f>'Data Sheet'!C43</f>
        <v>12599</v>
      </c>
      <c r="D5" s="2">
        <f>'Data Sheet'!D43</f>
        <v>11303</v>
      </c>
      <c r="E5" s="2">
        <f>'Data Sheet'!E43</f>
        <v>12019</v>
      </c>
      <c r="F5" s="2">
        <f>'Data Sheet'!F43</f>
        <v>13298</v>
      </c>
      <c r="G5" s="2">
        <f>'Data Sheet'!G43</f>
        <v>16066</v>
      </c>
      <c r="H5" s="2">
        <f>'Data Sheet'!H43</f>
        <v>13379</v>
      </c>
      <c r="I5" s="2">
        <f>'Data Sheet'!I43</f>
        <v>14693</v>
      </c>
      <c r="J5" s="2">
        <f>'Data Sheet'!J43</f>
        <v>16850</v>
      </c>
      <c r="K5" s="2">
        <f>'Data Sheet'!K43</f>
        <v>22703</v>
      </c>
    </row>
    <row r="6" spans="1:11" s="5" customFormat="1" x14ac:dyDescent="0.25">
      <c r="A6" s="5" t="s">
        <v>22</v>
      </c>
      <c r="B6" s="1">
        <f>'Data Sheet'!B50</f>
        <v>1411</v>
      </c>
      <c r="C6" s="1">
        <f>'Data Sheet'!C50</f>
        <v>1565</v>
      </c>
      <c r="D6" s="1">
        <f>'Data Sheet'!D50</f>
        <v>1191</v>
      </c>
      <c r="E6" s="1">
        <f>'Data Sheet'!E50</f>
        <v>1247</v>
      </c>
      <c r="F6" s="1">
        <f>'Data Sheet'!F50</f>
        <v>1236</v>
      </c>
      <c r="G6" s="1">
        <f>'Data Sheet'!G50</f>
        <v>1674</v>
      </c>
      <c r="H6" s="1">
        <f>'Data Sheet'!H50</f>
        <v>1537</v>
      </c>
      <c r="I6" s="1">
        <f>'Data Sheet'!I50</f>
        <v>1830</v>
      </c>
      <c r="J6" s="1">
        <f>'Data Sheet'!J50</f>
        <v>1875</v>
      </c>
      <c r="K6" s="1">
        <f>'Data Sheet'!K50</f>
        <v>2713</v>
      </c>
    </row>
    <row r="7" spans="1:11" x14ac:dyDescent="0.25">
      <c r="A7" t="s">
        <v>21</v>
      </c>
      <c r="B7" s="2">
        <f>'Data Sheet'!B44</f>
        <v>125</v>
      </c>
      <c r="C7" s="2">
        <f>'Data Sheet'!C44</f>
        <v>136</v>
      </c>
      <c r="D7" s="2">
        <f>'Data Sheet'!D44</f>
        <v>159</v>
      </c>
      <c r="E7" s="2">
        <f>'Data Sheet'!E44</f>
        <v>120</v>
      </c>
      <c r="F7" s="2">
        <f>'Data Sheet'!F44</f>
        <v>123</v>
      </c>
      <c r="G7" s="2">
        <f>'Data Sheet'!G44</f>
        <v>128</v>
      </c>
      <c r="H7" s="2">
        <f>'Data Sheet'!H44</f>
        <v>116</v>
      </c>
      <c r="I7" s="2">
        <f>'Data Sheet'!I44</f>
        <v>105</v>
      </c>
      <c r="J7" s="2">
        <f>'Data Sheet'!J44</f>
        <v>113</v>
      </c>
      <c r="K7" s="2">
        <f>'Data Sheet'!K44</f>
        <v>-1</v>
      </c>
    </row>
    <row r="8" spans="1:11" x14ac:dyDescent="0.25">
      <c r="A8" t="s">
        <v>20</v>
      </c>
      <c r="B8" s="2">
        <f>'Data Sheet'!B45</f>
        <v>144</v>
      </c>
      <c r="C8" s="2">
        <f>'Data Sheet'!C45</f>
        <v>154</v>
      </c>
      <c r="D8" s="2">
        <f>'Data Sheet'!D45</f>
        <v>158</v>
      </c>
      <c r="E8" s="2">
        <f>'Data Sheet'!E45</f>
        <v>164</v>
      </c>
      <c r="F8" s="2">
        <f>'Data Sheet'!F45</f>
        <v>171</v>
      </c>
      <c r="G8" s="2">
        <f>'Data Sheet'!G45</f>
        <v>175</v>
      </c>
      <c r="H8" s="2">
        <f>'Data Sheet'!H45</f>
        <v>183</v>
      </c>
      <c r="I8" s="2">
        <f>'Data Sheet'!I45</f>
        <v>184</v>
      </c>
      <c r="J8" s="2">
        <f>'Data Sheet'!J45</f>
        <v>189</v>
      </c>
      <c r="K8" s="2">
        <f>'Data Sheet'!K45</f>
        <v>207</v>
      </c>
    </row>
    <row r="9" spans="1:11" x14ac:dyDescent="0.25">
      <c r="A9" t="s">
        <v>19</v>
      </c>
      <c r="B9" s="2">
        <f>'Data Sheet'!B46</f>
        <v>140</v>
      </c>
      <c r="C9" s="2">
        <f>'Data Sheet'!C46</f>
        <v>169</v>
      </c>
      <c r="D9" s="2">
        <f>'Data Sheet'!D46</f>
        <v>201</v>
      </c>
      <c r="E9" s="2">
        <f>'Data Sheet'!E46</f>
        <v>230</v>
      </c>
      <c r="F9" s="2">
        <f>'Data Sheet'!F46</f>
        <v>240</v>
      </c>
      <c r="G9" s="2">
        <f>'Data Sheet'!G46</f>
        <v>231</v>
      </c>
      <c r="H9" s="2">
        <f>'Data Sheet'!H46</f>
        <v>252</v>
      </c>
      <c r="I9" s="2">
        <f>'Data Sheet'!I46</f>
        <v>271</v>
      </c>
      <c r="J9" s="2">
        <f>'Data Sheet'!J46</f>
        <v>277</v>
      </c>
      <c r="K9" s="2">
        <f>'Data Sheet'!K46</f>
        <v>282</v>
      </c>
    </row>
    <row r="10" spans="1:11" x14ac:dyDescent="0.25">
      <c r="A10" t="s">
        <v>18</v>
      </c>
      <c r="B10" s="2">
        <f>'Data Sheet'!B47</f>
        <v>1252</v>
      </c>
      <c r="C10" s="2">
        <f>'Data Sheet'!C47</f>
        <v>1378</v>
      </c>
      <c r="D10" s="2">
        <f>'Data Sheet'!D47</f>
        <v>991</v>
      </c>
      <c r="E10" s="2">
        <f>'Data Sheet'!E47</f>
        <v>973</v>
      </c>
      <c r="F10" s="2">
        <f>'Data Sheet'!F47</f>
        <v>948</v>
      </c>
      <c r="G10" s="2">
        <f>'Data Sheet'!G47</f>
        <v>1396</v>
      </c>
      <c r="H10" s="2">
        <f>'Data Sheet'!H47</f>
        <v>1218</v>
      </c>
      <c r="I10" s="2">
        <f>'Data Sheet'!I47</f>
        <v>1480</v>
      </c>
      <c r="J10" s="2">
        <f>'Data Sheet'!J47</f>
        <v>1522</v>
      </c>
      <c r="K10" s="2">
        <f>'Data Sheet'!K47</f>
        <v>2223</v>
      </c>
    </row>
    <row r="11" spans="1:11" x14ac:dyDescent="0.25">
      <c r="A11" t="s">
        <v>17</v>
      </c>
      <c r="B11" s="2">
        <f>'Data Sheet'!B48</f>
        <v>336</v>
      </c>
      <c r="C11" s="2">
        <f>'Data Sheet'!C48</f>
        <v>325</v>
      </c>
      <c r="D11" s="2">
        <f>'Data Sheet'!D48</f>
        <v>220</v>
      </c>
      <c r="E11" s="2">
        <f>'Data Sheet'!E48</f>
        <v>258</v>
      </c>
      <c r="F11" s="2">
        <f>'Data Sheet'!F48</f>
        <v>244</v>
      </c>
      <c r="G11" s="2">
        <f>'Data Sheet'!G48</f>
        <v>349</v>
      </c>
      <c r="H11" s="2">
        <f>'Data Sheet'!H48</f>
        <v>347</v>
      </c>
      <c r="I11" s="2">
        <f>'Data Sheet'!I48</f>
        <v>389</v>
      </c>
      <c r="J11" s="2">
        <f>'Data Sheet'!J48</f>
        <v>402</v>
      </c>
      <c r="K11" s="2">
        <f>'Data Sheet'!K48</f>
        <v>539</v>
      </c>
    </row>
    <row r="12" spans="1:11" s="5" customFormat="1" x14ac:dyDescent="0.25">
      <c r="A12" s="5" t="s">
        <v>16</v>
      </c>
      <c r="B12" s="1">
        <f>'Data Sheet'!B49</f>
        <v>915</v>
      </c>
      <c r="C12" s="1">
        <f>'Data Sheet'!C49</f>
        <v>1053</v>
      </c>
      <c r="D12" s="1">
        <f>'Data Sheet'!D49</f>
        <v>771</v>
      </c>
      <c r="E12" s="1">
        <f>'Data Sheet'!E49</f>
        <v>715</v>
      </c>
      <c r="F12" s="1">
        <f>'Data Sheet'!F49</f>
        <v>704</v>
      </c>
      <c r="G12" s="1">
        <f>'Data Sheet'!G49</f>
        <v>1047</v>
      </c>
      <c r="H12" s="1">
        <f>'Data Sheet'!H49</f>
        <v>871</v>
      </c>
      <c r="I12" s="1">
        <f>'Data Sheet'!I49</f>
        <v>1091</v>
      </c>
      <c r="J12" s="1">
        <f>'Data Sheet'!J49</f>
        <v>1120</v>
      </c>
      <c r="K12" s="1">
        <f>'Data Sheet'!K49</f>
        <v>1684</v>
      </c>
    </row>
    <row r="14" spans="1:11" s="5" customFormat="1" x14ac:dyDescent="0.25">
      <c r="A14" s="5" t="s">
        <v>1</v>
      </c>
      <c r="B14" s="13">
        <f t="shared" ref="B14:K14" si="0">IF(B4&gt;0,B6/B4,"")</f>
        <v>0.11261872455902307</v>
      </c>
      <c r="C14" s="13">
        <f t="shared" si="0"/>
        <v>0.11049138661395086</v>
      </c>
      <c r="D14" s="13">
        <f t="shared" si="0"/>
        <v>9.5325756363054265E-2</v>
      </c>
      <c r="E14" s="13">
        <f t="shared" si="0"/>
        <v>9.399969847731042E-2</v>
      </c>
      <c r="F14" s="13">
        <f t="shared" si="0"/>
        <v>8.5041970551809551E-2</v>
      </c>
      <c r="G14" s="13">
        <f t="shared" si="0"/>
        <v>9.4363021420518597E-2</v>
      </c>
      <c r="H14" s="13">
        <f t="shared" si="0"/>
        <v>0.1030437114507911</v>
      </c>
      <c r="I14" s="13">
        <f t="shared" si="0"/>
        <v>0.11075470556194396</v>
      </c>
      <c r="J14" s="13">
        <f t="shared" si="0"/>
        <v>0.10013351134846461</v>
      </c>
      <c r="K14" s="13">
        <f t="shared" si="0"/>
        <v>0.10674378344350016</v>
      </c>
    </row>
    <row r="22" s="17" customFormat="1" x14ac:dyDescent="0.25"/>
  </sheetData>
  <hyperlinks>
    <hyperlink ref="J1" r:id="rId1" xr:uid="{FA48D7EA-4891-4751-957F-AB48EBB444E9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Three Statement Model</vt:lpstr>
      <vt:lpstr>Data&gt;&gt;</vt:lpstr>
      <vt:lpstr>Data Sheet</vt:lpstr>
      <vt:lpstr>Profit &amp; Loss </vt:lpstr>
      <vt:lpstr>Balance Sheet</vt:lpstr>
      <vt:lpstr>Cash Flow </vt:lpstr>
      <vt:lpstr>Quarters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Singh</dc:creator>
  <cp:lastModifiedBy>Pratyush Singh</cp:lastModifiedBy>
  <dcterms:created xsi:type="dcterms:W3CDTF">2026-02-16T17:56:56Z</dcterms:created>
  <dcterms:modified xsi:type="dcterms:W3CDTF">2026-02-17T20:14:56Z</dcterms:modified>
</cp:coreProperties>
</file>